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\Desktop\GITHUB\"/>
    </mc:Choice>
  </mc:AlternateContent>
  <xr:revisionPtr revIDLastSave="0" documentId="8_{04107A36-5800-4446-86F6-A73C108F4BCE}" xr6:coauthVersionLast="47" xr6:coauthVersionMax="47" xr10:uidLastSave="{00000000-0000-0000-0000-000000000000}"/>
  <bookViews>
    <workbookView xWindow="-110" yWindow="-110" windowWidth="19420" windowHeight="10420" xr2:uid="{60FE7379-4DD8-4B12-BC19-8758B7148B40}"/>
  </bookViews>
  <sheets>
    <sheet name="充放电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B2" i="2"/>
  <c r="E2" i="2" s="1"/>
  <c r="C2" i="2"/>
  <c r="D2" i="2"/>
</calcChain>
</file>

<file path=xl/sharedStrings.xml><?xml version="1.0" encoding="utf-8"?>
<sst xmlns="http://schemas.openxmlformats.org/spreadsheetml/2006/main" count="288" uniqueCount="203">
  <si>
    <t>1. 连接稳定，文件识别正常；2. 升级无卡顿，完成后自动重启；3. 版本匹配，BMS功能正常。</t>
  </si>
  <si>
    <t xml:space="preserve">
</t>
  </si>
  <si>
    <t>1. BMS接通，上位机与其连接正常；2. 上位机选择本地匹配升级文件，点击开始升级；3. 升级完成后重启BMS，验证版本及功能。</t>
  </si>
  <si>
    <t>1. 整机高压上电完成，无故障、无告警</t>
  </si>
  <si>
    <t>1-High</t>
  </si>
  <si>
    <t>连接上位机，升级bms程序</t>
  </si>
  <si>
    <t>程序升级</t>
  </si>
  <si>
    <t>本地升级</t>
  </si>
  <si>
    <t>18FF05F3xh InsulationValue=</t>
  </si>
  <si>
    <t>1、整机高压上电完成
2、查看报文</t>
  </si>
  <si>
    <t>BMS唤醒后，发送电池实时绝缘阻值</t>
  </si>
  <si>
    <t>绝缘电阻发送</t>
  </si>
  <si>
    <t>18FF02F3xh BMS_BatStatus=2</t>
  </si>
  <si>
    <t>BMS唤醒后，发送电池实时工作状态值</t>
  </si>
  <si>
    <t>工作状态发送</t>
  </si>
  <si>
    <t>18FF01F3xh cur_Bat=</t>
  </si>
  <si>
    <t>BMS唤醒后，发送电池实时电流值</t>
  </si>
  <si>
    <t>电流发送</t>
  </si>
  <si>
    <t>18FF01F3xh Vol_Bat=</t>
  </si>
  <si>
    <t>BMS唤醒后，发送电池实时电压值</t>
  </si>
  <si>
    <t>电压发送</t>
  </si>
  <si>
    <t>18FF01F3xh soc=</t>
  </si>
  <si>
    <t>BMS唤醒后，发送电池实时soc值</t>
  </si>
  <si>
    <t>SOC发送</t>
  </si>
  <si>
    <t>状态发送</t>
  </si>
  <si>
    <t>电池理论 1C 充电功率为 107kw，BMS 充电 SOP 开放 1C 倍率权限；受整机硬件限制，实际以 60kw 满功率稳定充电；系统无降功率、无告警，充电运行正常</t>
  </si>
  <si>
    <t>1. 电池温度 20℃~45℃；
2.SOC 区间 0%~60%；
3. 下发充电指令，开启 1C 倍率充电；
4. 监控充电 SOP 报文、实际充电电流、整机屏显及后台平台</t>
  </si>
  <si>
    <t>1. 整机高压上电完成，无故障、无告警；2. 搭载临工新能源配套电池；3. 充电回路正常，无保护限制触发</t>
  </si>
  <si>
    <t>验证临工新能源电池在适宜充电温度区间、低中 SOC 段，充电 SOP 可支持 1C 倍率正常充电，无降额限流</t>
  </si>
  <si>
    <t>临工新能源电池(107kwh) 
 20℃~45℃、SOC0%~60% 1C 倍率充电验证</t>
  </si>
  <si>
    <t>SOP-006</t>
  </si>
  <si>
    <t>电池理论 1C 充电功率为 71kW，BMS 充电 SOP 开放 1C 倍率权限；受整机硬件限制，实际以 30kW 满功率稳定充电；系统无降功率、无告警，充电运行正常</t>
  </si>
  <si>
    <t>临工新能源电池(71kwh) 
 20℃~45℃、SOC0%~60% 1C 倍率充电验证</t>
  </si>
  <si>
    <t>SOP-005</t>
  </si>
  <si>
    <t>电池理论 1C 充电功率为 107kw，BMS 充电 SOP 开放 1C 倍率权限；受整机硬件限制，实际以60kw 满功率稳定充电；系统无降功率、无告警，充电运行正常</t>
  </si>
  <si>
    <t>1. 电池温度 20℃~50℃；
2. SOC 区间 0%~60%；
3. 下发充电指令，执行 1C 倍率充电；
4. 持续监控充电 SOP 报文、实际充电电流、屏显及平台状态</t>
  </si>
  <si>
    <t>1. 设备高压上电正常，整机无故障、无告警；2. 搭载兰钧动力电池；3. 充电回路完好，无保护类限制触发</t>
  </si>
  <si>
    <t>验证兰钧电池在标准充电温区、低 SOC 区间内，充电 SOP 允许 1C 倍率正常充电，无降额限流保护</t>
  </si>
  <si>
    <r>
      <rPr>
        <b/>
        <sz val="11"/>
        <rFont val="等线"/>
        <family val="3"/>
        <charset val="134"/>
      </rPr>
      <t>兰钧电池</t>
    </r>
    <r>
      <rPr>
        <sz val="11"/>
        <rFont val="等线"/>
        <family val="3"/>
        <charset val="134"/>
      </rPr>
      <t>20℃~50℃、SOC0%~60% 1C 倍率充电验证</t>
    </r>
  </si>
  <si>
    <t>SOP-004</t>
  </si>
  <si>
    <t>sop表发送-充电 SOP 测试</t>
  </si>
  <si>
    <t>1、BMS 上报最大放电 SOP 为额定满功率30kw；
2、系统无降功率、限流限制；
3、实际放电可稳定满功率运行；
4、显示屏及平台无功率受限类告警</t>
  </si>
  <si>
    <t>1. 电池温度 15℃~45℃；
2.SOC 区间 20%~100%；
3. 下发放电指令，执行满功率放电；
4. 持续监控 BMS 放电 SOP 报文、实际放电功率及屏显、平台状态</t>
  </si>
  <si>
    <t>1. 设备高压上电正常，整机无故障、无告警；2. 电池为临工新能源配套电池；3. 系统无保护限流触发</t>
  </si>
  <si>
    <t>验证临工新能源电池常规工作温区、全段可用 SOC 范围内，放电 SOP 允许满功率输出，无主动降功率限制</t>
  </si>
  <si>
    <t>临工新能源电池(71kwh) 
15℃~45℃、SOC20%~100% 满功率放电验证</t>
  </si>
  <si>
    <t>SOP-003</t>
  </si>
  <si>
    <t>1、BMS 上报最大放电 SOP 为额定满功率60kw；
2、系统无降功率、限流限制；
3、实际放电可稳定满功率运行；
4、显示屏及平台无功率受限类告警</t>
  </si>
  <si>
    <t>临工新能源电池(107kwh) 15℃~45℃、SOC20%~100% 满功率放电验证</t>
  </si>
  <si>
    <t>SOP-002</t>
  </si>
  <si>
    <t>1、BMS 上报最大放电 SOP 为额定满功率60kw；
2、系统无降功率限流逻辑；
3、实际放电功率正常拉满，运行稳定4、屏显、后台平台无功率受限告警</t>
  </si>
  <si>
    <t>1、电池温度 25℃~40℃；
2、 SOC 区间为 85%~100%；
3、下发放电指令，开启满功率放电；
4、监控 BMS 放电 SOP 报文、实际放电功率、上位机与屏显状态</t>
  </si>
  <si>
    <t>1、设备高压上电完成，系统无故障；2、电池为兰钧磷酸铁锂电池；3、无告警、无保护限制</t>
  </si>
  <si>
    <t>验证兰钧电池在标准常温区间、高 SOC 区间下，BMS 放电 SOP 输出额定满功率，整车 / 整机无降功率限制</t>
  </si>
  <si>
    <t>兰钧电池 25℃~40℃、SOC85%~100% 满功率放电验证</t>
  </si>
  <si>
    <t>SOP-001</t>
  </si>
  <si>
    <t>sop表发送-放电 SOP 测试</t>
  </si>
  <si>
    <t>2. 重启后：屏显无故障，报文 Fan_NoRun_Fault=0</t>
  </si>
  <si>
    <t>1. 故障时：屏显 “风扇故障”，报文 Fan_NoRun_Fault=1</t>
  </si>
  <si>
    <t>1.CANoe 强制风扇故障→查故障→重启</t>
  </si>
  <si>
    <t>设备上电，待机</t>
  </si>
  <si>
    <t>故障存储 + 重启清除</t>
  </si>
  <si>
    <t>故障存储与清除</t>
  </si>
  <si>
    <t>BMS_013</t>
  </si>
  <si>
    <t>停止充电，CCU向VCU发送故障信息</t>
  </si>
  <si>
    <t>4.充电过程中CCU故障</t>
  </si>
  <si>
    <t>目标车辆开始充电
18FF01F3 BMS_BatStatus=10</t>
  </si>
  <si>
    <t>3.BMS发送放电</t>
  </si>
  <si>
    <t>1802F38Axh VCU_HV_ONOFF_cmd=1</t>
  </si>
  <si>
    <t>2.遥控器拨至放电按钮，VCU发送请求上高压</t>
  </si>
  <si>
    <t>充电枪连接正常
10228AF6xh CC_ConnectCarStatus=0</t>
  </si>
  <si>
    <t>1.将充电枪插入目标车辆</t>
  </si>
  <si>
    <t>整车处于上电状态，BMS,CCU自检通过</t>
  </si>
  <si>
    <t>整车上电后，充电控制系统向VCU发送故障状态信息</t>
  </si>
  <si>
    <t>故障上报</t>
  </si>
  <si>
    <t>BMS_012</t>
  </si>
  <si>
    <t>CCU向VCU发送故障信息</t>
  </si>
  <si>
    <t>1.整车上电，CCU开始自检，当CCU有故障时</t>
  </si>
  <si>
    <t>整车上电后，充电控制系统和BMS向整车上报故障</t>
  </si>
  <si>
    <t>BMS_011</t>
  </si>
  <si>
    <t>100DF68A 
Operation_instructions=0</t>
  </si>
  <si>
    <t>5.TCU解锁电子锁</t>
  </si>
  <si>
    <r>
      <rPr>
        <sz val="8"/>
        <rFont val="Calibri"/>
        <family val="2"/>
      </rPr>
      <t>TCU</t>
    </r>
    <r>
      <rPr>
        <sz val="8"/>
        <rFont val="等线"/>
        <family val="3"/>
        <charset val="134"/>
        <scheme val="minor"/>
      </rPr>
      <t>收到信号断开</t>
    </r>
    <r>
      <rPr>
        <sz val="8"/>
        <rFont val="Calibri"/>
        <family val="2"/>
      </rPr>
      <t>K10</t>
    </r>
    <r>
      <rPr>
        <sz val="8"/>
        <rFont val="等线"/>
        <family val="3"/>
        <charset val="134"/>
        <scheme val="minor"/>
      </rPr>
      <t>和</t>
    </r>
    <r>
      <rPr>
        <sz val="8"/>
        <rFont val="Calibri"/>
        <family val="2"/>
      </rPr>
      <t>K20</t>
    </r>
    <r>
      <rPr>
        <sz val="8"/>
        <rFont val="等线"/>
        <family val="3"/>
        <charset val="134"/>
        <scheme val="minor"/>
      </rPr>
      <t>继电器（</t>
    </r>
    <r>
      <rPr>
        <sz val="8"/>
        <rFont val="Calibri"/>
        <family val="2"/>
      </rPr>
      <t>10228AF6 CC_K10=0 CC_K20=0</t>
    </r>
    <r>
      <rPr>
        <sz val="8"/>
        <rFont val="等线"/>
        <family val="3"/>
        <charset val="134"/>
        <scheme val="minor"/>
      </rPr>
      <t>）</t>
    </r>
  </si>
  <si>
    <t>4.按下显示屏停止按钮</t>
  </si>
  <si>
    <t>目标车辆开始充电
18FF02F3 BMS_BatStatus=12</t>
  </si>
  <si>
    <t>10228AF6 CC_K10=1
                 CC_K20=1</t>
  </si>
  <si>
    <r>
      <rPr>
        <sz val="8"/>
        <color theme="1"/>
        <rFont val="等线"/>
        <family val="3"/>
        <charset val="134"/>
        <scheme val="minor"/>
      </rPr>
      <t>2.Tcu</t>
    </r>
    <r>
      <rPr>
        <sz val="8"/>
        <color indexed="8"/>
        <rFont val="宋体"/>
        <family val="3"/>
        <charset val="134"/>
      </rPr>
      <t>闭合K10和K20继电器</t>
    </r>
  </si>
  <si>
    <t>充电枪连接成功
10228AF6xh CC_ConnectCarStatus=0</t>
  </si>
  <si>
    <t>整车上电后，向外部充电，按下显示屏停止按钮，tcu停止放电</t>
  </si>
  <si>
    <t>充电停止按钮</t>
  </si>
  <si>
    <t>10138AF6
CC_ChargeStopReason=1</t>
  </si>
  <si>
    <t>5.CCU发送停止充电指令</t>
  </si>
  <si>
    <t>VCU发送紧急下高压指令给BMS
1802F38A
VCU_Emergency_HV_OFF_REQ=2</t>
  </si>
  <si>
    <t>4.按下急停按钮</t>
  </si>
  <si>
    <t>整车上电后，向外部充电，VCU向CCU发送紧急下电指令，CCU停止充电</t>
  </si>
  <si>
    <t>急停下电功能</t>
  </si>
  <si>
    <t>BMS_010</t>
  </si>
  <si>
    <t>停止放电</t>
  </si>
  <si>
    <t>3.BMS电池电量小于10%</t>
  </si>
  <si>
    <t>开始放电</t>
  </si>
  <si>
    <t>2.按下放电按钮</t>
  </si>
  <si>
    <t>目标车辆显示枪已连接</t>
  </si>
  <si>
    <t>放电功能正常</t>
  </si>
  <si>
    <t>整车无故障，上装电池SOC大于40%</t>
  </si>
  <si>
    <t>连续放电</t>
  </si>
  <si>
    <t>BMS_009</t>
  </si>
  <si>
    <t>充满后自动断开</t>
  </si>
  <si>
    <t>连续充电至100%</t>
  </si>
  <si>
    <t>充电桩与桩连接成功</t>
  </si>
  <si>
    <t>插入充电枪</t>
  </si>
  <si>
    <t>充电功能正常</t>
  </si>
  <si>
    <t>连续充电至100%后自动断开</t>
  </si>
  <si>
    <t>连续充电</t>
  </si>
  <si>
    <t>3. 三级（通信）：屏显 “通信故障”，报文 Fault_Level=3，功率 0kW</t>
  </si>
  <si>
    <t>2. 二级（欠压）：屏显 “直流欠压”，报文 Fault_Level=2，功率 25kW</t>
  </si>
  <si>
    <t>1. 一级（过温）：屏显 “环境过温”，报文 Fault_Level=1，功率 50kW 不变</t>
  </si>
  <si>
    <t>1.CANoe 依次强制一 / 二 / 三级故障</t>
  </si>
  <si>
    <t>交流放电（50kW）</t>
  </si>
  <si>
    <t>一 / 二 / 三级故障响应</t>
  </si>
  <si>
    <t>故障等级处理</t>
  </si>
  <si>
    <t>BMS_008</t>
  </si>
  <si>
    <t>强制下电，断开继电器，并上报故障</t>
  </si>
  <si>
    <t>1.制造BMS三级故障</t>
  </si>
  <si>
    <t>充电或放电正常时</t>
  </si>
  <si>
    <t>BMS故障三级强制下电</t>
  </si>
  <si>
    <t>故障下电</t>
  </si>
  <si>
    <t>BMS_007</t>
  </si>
  <si>
    <t>4.断开充正充负继电器</t>
  </si>
  <si>
    <t>4.结束放电</t>
  </si>
  <si>
    <t>3.补能功率按照MAP图输出，12V蓄电池开始充电</t>
  </si>
  <si>
    <t>3.等待3min</t>
  </si>
  <si>
    <t>2.18FF06F3 ChargPositiveRelay1 = 1 
   ChargNegativeRelay1=1</t>
  </si>
  <si>
    <t>2.BMS控制充负1和充负2继电器闭合</t>
  </si>
  <si>
    <t>18F0305Axh Mod_Char=0</t>
  </si>
  <si>
    <t>TCU根据BMS的状态请求，控制ACDC进入到恒流/恒压充电模式</t>
  </si>
  <si>
    <t>3、将工业电接入到整机，系统进行交流补电。</t>
  </si>
  <si>
    <t>2、TCU接收到交流补电指令后，控制ACDC进入到整流模式；</t>
  </si>
  <si>
    <t>715xh TCU_ModeCtrl=2</t>
  </si>
  <si>
    <t>1、通过显示屏将整机模式切换为交流补电模式；</t>
  </si>
  <si>
    <t>系统上ON档电；BMS处于放电上高压状态</t>
  </si>
  <si>
    <t>将交流电插入整机，进行交流补电</t>
  </si>
  <si>
    <t>交流补电</t>
  </si>
  <si>
    <t>1.充电桩与充电柜连接成功</t>
  </si>
  <si>
    <t>1.插入充电枪</t>
  </si>
  <si>
    <t>将充电桩插入充电柜，开始补能</t>
  </si>
  <si>
    <t>直流补电</t>
  </si>
  <si>
    <t>插座有电，用电器可正常工作</t>
  </si>
  <si>
    <t>TCU控制ACDC进行逆变，为三个220V插座供电</t>
  </si>
  <si>
    <t>715xh TCU_ModeCtrl=3</t>
  </si>
  <si>
    <t>1.车辆上ON档电
通过屏幕设置放电模式为交流放电</t>
  </si>
  <si>
    <t>将放电模式设置成交流放电对插座进行供电</t>
  </si>
  <si>
    <t>交流放电</t>
  </si>
  <si>
    <t>TCU控制ACDC进行逆变，为380V插座供电</t>
  </si>
  <si>
    <t>10.18FF06F3  DisChargNegativeRelay=2
 DisChargPositiveRelay=2</t>
  </si>
  <si>
    <t>10.断开放负放正继电器</t>
  </si>
  <si>
    <t>9.10228AF6 
   CC_K10=0，CC_K20=0</t>
  </si>
  <si>
    <t>9.断开K1、K2继电器</t>
  </si>
  <si>
    <t>8.显示屏下发 1003F68A VCU_ChargePortID=01/02
VCU_ChargeStopReason = 1，风扇停止运行
平台下发停止放电VCU_ChargeStopReason = 1，风扇停止运行</t>
  </si>
  <si>
    <t>8.按下显示屏停止放电按钮/点击小程序结束冲电</t>
  </si>
  <si>
    <t>18FF02F3 BMS_BatStatus=12（增加实际功能表现放电电流电压）</t>
  </si>
  <si>
    <r>
      <rPr>
        <sz val="8"/>
        <color theme="1"/>
        <rFont val="等线"/>
        <family val="3"/>
        <charset val="134"/>
        <scheme val="minor"/>
      </rPr>
      <t>7.BMS</t>
    </r>
    <r>
      <rPr>
        <sz val="8"/>
        <color indexed="8"/>
        <rFont val="宋体"/>
        <family val="3"/>
        <charset val="134"/>
      </rPr>
      <t>开始放电</t>
    </r>
  </si>
  <si>
    <t>DCDC灯闪烁和风扇转动</t>
  </si>
  <si>
    <t>6.60kw DCDC开始工作</t>
  </si>
  <si>
    <r>
      <rPr>
        <sz val="8"/>
        <color theme="1"/>
        <rFont val="等线"/>
        <family val="3"/>
        <charset val="134"/>
        <scheme val="minor"/>
      </rPr>
      <t>5.Tcu</t>
    </r>
    <r>
      <rPr>
        <sz val="8"/>
        <color indexed="8"/>
        <rFont val="宋体"/>
        <family val="3"/>
        <charset val="134"/>
      </rPr>
      <t>闭合K10和K20继电器</t>
    </r>
  </si>
  <si>
    <t>报文ID:18F102F6xh信号ChargeModeRseponse=2（1：遥控方式；2
扫码方式；5：即插即充），开始自动放电
TCU照GB/T 27930进行充电，并实时上传电量、功率、电压、电流等信息给平台</t>
  </si>
  <si>
    <t>3用户通过云平台对tcu发送启停充电指令（扫码）</t>
  </si>
  <si>
    <t>2.插入充电枪</t>
  </si>
  <si>
    <t>715xh TCU_ModeCtrl=0</t>
  </si>
  <si>
    <t>1.车辆上ON档电
通过屏幕设置放电模式为直流放电</t>
  </si>
  <si>
    <t>将枪插入目标车辆/充电测试箱，扫描二维码对tcu发送启停充电指令</t>
  </si>
  <si>
    <t>直流放电（扫码放电）</t>
  </si>
  <si>
    <t>BMS_002</t>
  </si>
  <si>
    <t>8.显示屏下发 1003F68A VCU_ChargePortID=01/02
VCU_ChargeStopReason = 1，风扇停止运行</t>
  </si>
  <si>
    <t>8.按下显示屏停止放电按钮</t>
  </si>
  <si>
    <r>
      <rPr>
        <sz val="8"/>
        <color theme="1"/>
        <rFont val="等线"/>
        <family val="3"/>
        <charset val="134"/>
        <scheme val="minor"/>
      </rPr>
      <t>6.BMS</t>
    </r>
    <r>
      <rPr>
        <sz val="8"/>
        <color indexed="8"/>
        <rFont val="宋体"/>
        <family val="3"/>
        <charset val="134"/>
      </rPr>
      <t>开始放电</t>
    </r>
  </si>
  <si>
    <t>5.60kw DCDC开始工作</t>
  </si>
  <si>
    <r>
      <rPr>
        <sz val="8"/>
        <color theme="1"/>
        <rFont val="等线"/>
        <family val="3"/>
        <charset val="134"/>
        <scheme val="minor"/>
      </rPr>
      <t>4.Tcu</t>
    </r>
    <r>
      <rPr>
        <sz val="8"/>
        <color indexed="8"/>
        <rFont val="宋体"/>
        <family val="3"/>
        <charset val="134"/>
      </rPr>
      <t>闭合K10和K20继电器</t>
    </r>
  </si>
  <si>
    <t>报文ID:18F102F6xh信号ChargeModeRseponse=5（1：遥控方式；2
扫码方式；5：即插即充），开始自动放电</t>
  </si>
  <si>
    <t>3.TCU检测到充电枪连接成功</t>
  </si>
  <si>
    <t>将枪插入目标车辆/充电测试箱，tcu检测到充电枪连接到被充车辆时即进行放电</t>
  </si>
  <si>
    <t>直流放电（即插即用）</t>
  </si>
  <si>
    <t>BMS_001</t>
  </si>
  <si>
    <t>直流放电</t>
  </si>
  <si>
    <t>备注</t>
  </si>
  <si>
    <r>
      <rPr>
        <b/>
        <sz val="8"/>
        <color indexed="8"/>
        <rFont val="宋体"/>
        <family val="3"/>
        <charset val="134"/>
      </rPr>
      <t>验证结果</t>
    </r>
  </si>
  <si>
    <r>
      <rPr>
        <b/>
        <sz val="8"/>
        <color indexed="8"/>
        <rFont val="宋体"/>
        <family val="3"/>
        <charset val="134"/>
      </rPr>
      <t>预期结果</t>
    </r>
  </si>
  <si>
    <t>测试数据</t>
  </si>
  <si>
    <t>测试次数</t>
  </si>
  <si>
    <t>操作步骤</t>
  </si>
  <si>
    <t>预置条件</t>
  </si>
  <si>
    <t>测试级别</t>
  </si>
  <si>
    <t>详细描述</t>
  </si>
  <si>
    <t>用例名称</t>
  </si>
  <si>
    <t>用例编号</t>
  </si>
  <si>
    <t>测试主题</t>
  </si>
  <si>
    <t>测试环境：</t>
  </si>
  <si>
    <t>储能桩</t>
  </si>
  <si>
    <t>项目名称：</t>
  </si>
  <si>
    <t>测试通过率</t>
  </si>
  <si>
    <t>Undef用例数</t>
  </si>
  <si>
    <t>Fail用例数</t>
  </si>
  <si>
    <t>Pass用例数</t>
  </si>
  <si>
    <t>用例总数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</si>
</sst>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</font>
    <font>
      <sz val="8"/>
      <color indexed="8"/>
      <name val="Arial"/>
      <family val="2"/>
    </font>
    <font>
      <b/>
      <sz val="8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8"/>
      <name val="等线"/>
      <family val="3"/>
      <charset val="134"/>
      <scheme val="minor"/>
    </font>
    <font>
      <sz val="8"/>
      <name val="Arial"/>
      <family val="2"/>
    </font>
    <font>
      <sz val="8"/>
      <color rgb="FFC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8"/>
      <color rgb="FF000000"/>
      <name val="等线"/>
      <family val="3"/>
      <charset val="134"/>
      <scheme val="minor"/>
    </font>
    <font>
      <sz val="8"/>
      <color rgb="FF000000"/>
      <name val="SimSun"/>
      <charset val="134"/>
    </font>
    <font>
      <sz val="8"/>
      <name val="SimSun"/>
      <charset val="134"/>
    </font>
    <font>
      <sz val="8"/>
      <color theme="1"/>
      <name val="SimSun"/>
      <charset val="134"/>
    </font>
    <font>
      <sz val="11"/>
      <color theme="1"/>
      <name val="等线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sz val="8"/>
      <name val="等线"/>
      <family val="3"/>
      <charset val="134"/>
    </font>
    <font>
      <sz val="8"/>
      <name val="Calibri"/>
      <family val="2"/>
    </font>
    <font>
      <b/>
      <sz val="8"/>
      <name val="宋体"/>
      <family val="3"/>
      <charset val="134"/>
    </font>
    <font>
      <sz val="8"/>
      <name val="宋体"/>
      <family val="3"/>
      <charset val="134"/>
    </font>
    <font>
      <b/>
      <sz val="8"/>
      <color indexed="8"/>
      <name val="Arial"/>
      <family val="2"/>
    </font>
    <font>
      <sz val="11"/>
      <color rgb="FF006100"/>
      <name val="等线"/>
      <family val="3"/>
      <charset val="134"/>
      <scheme val="minor"/>
    </font>
    <font>
      <sz val="8"/>
      <color rgb="FF006100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b/>
      <sz val="8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535111545152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24" fillId="3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0" borderId="0" xfId="1" applyAlignment="1">
      <alignment vertical="center"/>
    </xf>
    <xf numFmtId="0" fontId="3" fillId="0" borderId="0" xfId="2" applyFont="1">
      <alignment vertical="center"/>
    </xf>
    <xf numFmtId="0" fontId="4" fillId="0" borderId="0" xfId="2" applyFont="1" applyAlignment="1">
      <alignment vertical="center" wrapText="1"/>
    </xf>
    <xf numFmtId="0" fontId="4" fillId="0" borderId="0" xfId="2" applyFont="1">
      <alignment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3" fillId="0" borderId="1" xfId="2" applyFont="1" applyBorder="1" applyAlignment="1">
      <alignment vertical="center" wrapText="1"/>
    </xf>
    <xf numFmtId="0" fontId="3" fillId="0" borderId="0" xfId="2" applyFont="1" applyAlignment="1">
      <alignment vertical="center" wrapText="1"/>
    </xf>
    <xf numFmtId="0" fontId="6" fillId="0" borderId="1" xfId="2" applyFont="1" applyBorder="1" applyAlignment="1">
      <alignment horizontal="center" vertical="top" wrapText="1"/>
    </xf>
    <xf numFmtId="0" fontId="3" fillId="0" borderId="1" xfId="2" applyFont="1" applyBorder="1">
      <alignment vertical="center"/>
    </xf>
    <xf numFmtId="0" fontId="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top" wrapText="1"/>
    </xf>
    <xf numFmtId="0" fontId="4" fillId="0" borderId="1" xfId="2" applyFont="1" applyBorder="1" applyAlignment="1">
      <alignment vertical="center" wrapText="1"/>
    </xf>
    <xf numFmtId="0" fontId="7" fillId="0" borderId="1" xfId="2" applyFont="1" applyBorder="1" applyAlignment="1">
      <alignment horizontal="center" vertical="top" wrapText="1"/>
    </xf>
    <xf numFmtId="0" fontId="7" fillId="0" borderId="1" xfId="2" applyFont="1" applyBorder="1" applyAlignment="1">
      <alignment horizontal="left" vertical="top" wrapText="1"/>
    </xf>
    <xf numFmtId="0" fontId="3" fillId="0" borderId="2" xfId="2" applyFont="1" applyBorder="1" applyAlignment="1">
      <alignment vertical="center" wrapText="1"/>
    </xf>
    <xf numFmtId="0" fontId="6" fillId="0" borderId="2" xfId="2" applyFont="1" applyBorder="1" applyAlignment="1">
      <alignment horizontal="center" vertical="top" wrapText="1"/>
    </xf>
    <xf numFmtId="0" fontId="6" fillId="0" borderId="2" xfId="2" applyFont="1" applyBorder="1" applyAlignment="1">
      <alignment horizontal="left" vertical="top" wrapText="1"/>
    </xf>
    <xf numFmtId="0" fontId="5" fillId="0" borderId="3" xfId="2" applyFont="1" applyBorder="1" applyAlignment="1">
      <alignment horizontal="center" vertical="center" wrapText="1"/>
    </xf>
    <xf numFmtId="0" fontId="3" fillId="0" borderId="4" xfId="2" applyFont="1" applyBorder="1" applyAlignment="1">
      <alignment vertical="center" wrapText="1"/>
    </xf>
    <xf numFmtId="0" fontId="6" fillId="0" borderId="4" xfId="2" applyFont="1" applyBorder="1" applyAlignment="1">
      <alignment horizontal="center" vertical="top" wrapText="1"/>
    </xf>
    <xf numFmtId="0" fontId="6" fillId="0" borderId="4" xfId="2" applyFont="1" applyBorder="1" applyAlignment="1">
      <alignment horizontal="left" vertical="top" wrapText="1"/>
    </xf>
    <xf numFmtId="0" fontId="3" fillId="0" borderId="5" xfId="2" applyFont="1" applyBorder="1">
      <alignment vertical="center"/>
    </xf>
    <xf numFmtId="0" fontId="4" fillId="0" borderId="4" xfId="2" applyFont="1" applyBorder="1" applyAlignment="1">
      <alignment vertical="center" wrapText="1"/>
    </xf>
    <xf numFmtId="0" fontId="4" fillId="0" borderId="4" xfId="2" applyFont="1" applyBorder="1">
      <alignment vertical="center"/>
    </xf>
    <xf numFmtId="0" fontId="4" fillId="0" borderId="4" xfId="2" applyFont="1" applyBorder="1" applyAlignment="1">
      <alignment horizontal="left" vertical="center"/>
    </xf>
    <xf numFmtId="0" fontId="7" fillId="0" borderId="4" xfId="2" applyFont="1" applyBorder="1" applyAlignment="1">
      <alignment horizontal="center" vertical="top" wrapText="1"/>
    </xf>
    <xf numFmtId="0" fontId="8" fillId="0" borderId="6" xfId="2" applyFont="1" applyBorder="1" applyAlignment="1">
      <alignment vertical="center" wrapText="1"/>
    </xf>
    <xf numFmtId="0" fontId="8" fillId="0" borderId="6" xfId="2" applyFont="1" applyBorder="1">
      <alignment vertical="center"/>
    </xf>
    <xf numFmtId="0" fontId="8" fillId="0" borderId="6" xfId="1" applyFont="1" applyBorder="1" applyAlignment="1">
      <alignment vertical="center" wrapText="1"/>
    </xf>
    <xf numFmtId="0" fontId="8" fillId="0" borderId="6" xfId="2" applyFont="1" applyBorder="1" applyAlignment="1">
      <alignment horizontal="left" vertical="center"/>
    </xf>
    <xf numFmtId="0" fontId="8" fillId="0" borderId="6" xfId="2" applyFont="1" applyBorder="1" applyAlignment="1">
      <alignment horizontal="center" vertical="center"/>
    </xf>
    <xf numFmtId="0" fontId="8" fillId="0" borderId="1" xfId="2" applyFont="1" applyBorder="1">
      <alignment vertical="center"/>
    </xf>
    <xf numFmtId="0" fontId="8" fillId="0" borderId="1" xfId="2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10" fillId="0" borderId="1" xfId="2" applyFont="1" applyBorder="1">
      <alignment vertical="center"/>
    </xf>
    <xf numFmtId="0" fontId="8" fillId="0" borderId="2" xfId="2" applyFont="1" applyBorder="1" applyAlignment="1">
      <alignment vertical="center" wrapText="1"/>
    </xf>
    <xf numFmtId="0" fontId="8" fillId="0" borderId="2" xfId="2" applyFont="1" applyBorder="1">
      <alignment vertical="center"/>
    </xf>
    <xf numFmtId="0" fontId="11" fillId="0" borderId="7" xfId="1" applyFont="1" applyBorder="1" applyAlignment="1">
      <alignment vertical="top" wrapText="1"/>
    </xf>
    <xf numFmtId="0" fontId="12" fillId="0" borderId="7" xfId="1" applyFont="1" applyBorder="1" applyAlignment="1">
      <alignment vertical="top" wrapText="1"/>
    </xf>
    <xf numFmtId="0" fontId="12" fillId="0" borderId="4" xfId="2" applyFont="1" applyBorder="1" applyAlignment="1">
      <alignment vertical="center" wrapText="1"/>
    </xf>
    <xf numFmtId="0" fontId="13" fillId="0" borderId="8" xfId="2" applyFont="1" applyBorder="1" applyAlignment="1">
      <alignment wrapText="1"/>
    </xf>
    <xf numFmtId="0" fontId="12" fillId="0" borderId="2" xfId="2" applyFont="1" applyBorder="1" applyAlignment="1">
      <alignment vertical="center" wrapText="1"/>
    </xf>
    <xf numFmtId="0" fontId="12" fillId="0" borderId="2" xfId="2" applyFont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12" fillId="0" borderId="1" xfId="2" applyFont="1" applyBorder="1">
      <alignment vertical="center"/>
    </xf>
    <xf numFmtId="0" fontId="12" fillId="0" borderId="4" xfId="2" applyFont="1" applyBorder="1">
      <alignment vertical="center"/>
    </xf>
    <xf numFmtId="0" fontId="12" fillId="0" borderId="4" xfId="2" applyFont="1" applyBorder="1" applyAlignment="1">
      <alignment horizontal="left" vertical="center"/>
    </xf>
    <xf numFmtId="0" fontId="8" fillId="0" borderId="5" xfId="2" applyFont="1" applyBorder="1" applyAlignment="1">
      <alignment horizontal="center" vertical="center"/>
    </xf>
    <xf numFmtId="0" fontId="13" fillId="0" borderId="4" xfId="2" applyFont="1" applyBorder="1" applyAlignment="1">
      <alignment vertical="center" wrapText="1"/>
    </xf>
    <xf numFmtId="0" fontId="12" fillId="0" borderId="4" xfId="1" applyFont="1" applyBorder="1" applyAlignment="1">
      <alignment vertical="center" wrapText="1"/>
    </xf>
    <xf numFmtId="0" fontId="1" fillId="0" borderId="2" xfId="1" applyBorder="1"/>
    <xf numFmtId="0" fontId="14" fillId="0" borderId="5" xfId="2" applyFont="1" applyBorder="1" applyAlignment="1">
      <alignment horizontal="center" vertical="center" wrapText="1"/>
    </xf>
    <xf numFmtId="0" fontId="1" fillId="0" borderId="9" xfId="1" applyBorder="1"/>
    <xf numFmtId="49" fontId="12" fillId="0" borderId="4" xfId="1" applyNumberFormat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 wrapText="1"/>
    </xf>
    <xf numFmtId="0" fontId="5" fillId="0" borderId="10" xfId="2" applyFont="1" applyBorder="1" applyAlignment="1">
      <alignment horizontal="center" vertical="center" wrapText="1"/>
    </xf>
    <xf numFmtId="0" fontId="13" fillId="0" borderId="4" xfId="2" applyFont="1" applyBorder="1">
      <alignment vertical="center"/>
    </xf>
    <xf numFmtId="0" fontId="13" fillId="0" borderId="4" xfId="1" applyFont="1" applyBorder="1" applyAlignment="1">
      <alignment vertical="center" wrapText="1"/>
    </xf>
    <xf numFmtId="0" fontId="15" fillId="0" borderId="0" xfId="2" applyFont="1" applyAlignment="1">
      <alignment horizontal="center" vertical="center"/>
    </xf>
    <xf numFmtId="0" fontId="12" fillId="0" borderId="6" xfId="2" applyFont="1" applyBorder="1">
      <alignment vertical="center"/>
    </xf>
    <xf numFmtId="0" fontId="3" fillId="0" borderId="3" xfId="2" applyFont="1" applyBorder="1">
      <alignment vertical="center"/>
    </xf>
    <xf numFmtId="0" fontId="5" fillId="0" borderId="4" xfId="2" applyFont="1" applyBorder="1" applyAlignment="1">
      <alignment horizontal="center" vertical="center" wrapText="1"/>
    </xf>
    <xf numFmtId="0" fontId="16" fillId="0" borderId="11" xfId="2" applyFont="1" applyBorder="1" applyAlignment="1">
      <alignment wrapText="1"/>
    </xf>
    <xf numFmtId="0" fontId="1" fillId="0" borderId="12" xfId="2" applyBorder="1" applyAlignment="1">
      <alignment wrapText="1"/>
    </xf>
    <xf numFmtId="0" fontId="16" fillId="0" borderId="11" xfId="2" applyFont="1" applyBorder="1" applyAlignment="1">
      <alignment vertical="top" wrapText="1"/>
    </xf>
    <xf numFmtId="0" fontId="16" fillId="0" borderId="8" xfId="2" applyFont="1" applyBorder="1" applyAlignment="1">
      <alignment wrapText="1"/>
    </xf>
    <xf numFmtId="0" fontId="1" fillId="0" borderId="13" xfId="1" applyBorder="1"/>
    <xf numFmtId="0" fontId="1" fillId="0" borderId="0" xfId="1" applyAlignment="1">
      <alignment wrapText="1"/>
    </xf>
    <xf numFmtId="0" fontId="3" fillId="0" borderId="3" xfId="2" applyFont="1" applyBorder="1" applyAlignment="1">
      <alignment vertical="center" wrapText="1"/>
    </xf>
    <xf numFmtId="0" fontId="5" fillId="0" borderId="14" xfId="2" applyFont="1" applyBorder="1" applyAlignment="1">
      <alignment horizontal="center" vertical="center" wrapText="1"/>
    </xf>
    <xf numFmtId="0" fontId="16" fillId="0" borderId="8" xfId="1" applyFont="1" applyBorder="1" applyAlignment="1">
      <alignment wrapText="1"/>
    </xf>
    <xf numFmtId="0" fontId="1" fillId="0" borderId="4" xfId="1" applyBorder="1" applyAlignment="1">
      <alignment wrapText="1"/>
    </xf>
    <xf numFmtId="0" fontId="1" fillId="0" borderId="15" xfId="1" applyBorder="1"/>
    <xf numFmtId="0" fontId="16" fillId="0" borderId="11" xfId="1" applyFont="1" applyBorder="1" applyAlignment="1">
      <alignment vertical="center" wrapText="1"/>
    </xf>
    <xf numFmtId="0" fontId="5" fillId="0" borderId="16" xfId="2" applyFont="1" applyBorder="1" applyAlignment="1">
      <alignment horizontal="center" vertical="center" wrapText="1"/>
    </xf>
    <xf numFmtId="0" fontId="16" fillId="0" borderId="4" xfId="1" applyFont="1" applyBorder="1" applyAlignment="1">
      <alignment wrapText="1"/>
    </xf>
    <xf numFmtId="0" fontId="4" fillId="0" borderId="3" xfId="2" applyFont="1" applyBorder="1">
      <alignment vertical="center"/>
    </xf>
    <xf numFmtId="0" fontId="19" fillId="0" borderId="16" xfId="1" applyFont="1" applyBorder="1" applyAlignment="1">
      <alignment wrapText="1"/>
    </xf>
    <xf numFmtId="0" fontId="16" fillId="0" borderId="8" xfId="1" applyFont="1" applyBorder="1"/>
    <xf numFmtId="0" fontId="4" fillId="0" borderId="1" xfId="2" applyFont="1" applyBorder="1">
      <alignment vertical="center"/>
    </xf>
    <xf numFmtId="0" fontId="5" fillId="0" borderId="6" xfId="2" applyFont="1" applyBorder="1" applyAlignment="1">
      <alignment horizontal="center" vertical="center" wrapText="1"/>
    </xf>
    <xf numFmtId="0" fontId="19" fillId="0" borderId="4" xfId="2" applyFont="1" applyBorder="1" applyAlignment="1">
      <alignment vertical="center" wrapText="1"/>
    </xf>
    <xf numFmtId="0" fontId="4" fillId="0" borderId="4" xfId="2" applyFont="1" applyBorder="1" applyAlignment="1">
      <alignment horizontal="center" vertical="center"/>
    </xf>
    <xf numFmtId="0" fontId="1" fillId="0" borderId="0" xfId="1"/>
    <xf numFmtId="0" fontId="19" fillId="0" borderId="4" xfId="1" applyFont="1" applyBorder="1" applyAlignment="1">
      <alignment wrapText="1"/>
    </xf>
    <xf numFmtId="0" fontId="19" fillId="0" borderId="4" xfId="1" applyFont="1" applyBorder="1" applyAlignment="1">
      <alignment horizontal="left" wrapText="1"/>
    </xf>
    <xf numFmtId="0" fontId="8" fillId="0" borderId="1" xfId="1" applyFont="1" applyBorder="1" applyAlignment="1">
      <alignment vertical="center"/>
    </xf>
    <xf numFmtId="0" fontId="4" fillId="0" borderId="6" xfId="2" applyFont="1" applyBorder="1" applyAlignment="1">
      <alignment vertical="center" wrapText="1"/>
    </xf>
    <xf numFmtId="0" fontId="10" fillId="0" borderId="1" xfId="2" applyFont="1" applyBorder="1" applyAlignment="1">
      <alignment vertical="center" wrapText="1"/>
    </xf>
    <xf numFmtId="0" fontId="10" fillId="0" borderId="1" xfId="2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0" fillId="0" borderId="1" xfId="1" applyFont="1" applyBorder="1" applyAlignment="1">
      <alignment vertical="center" wrapText="1"/>
    </xf>
    <xf numFmtId="0" fontId="21" fillId="0" borderId="1" xfId="2" applyFont="1" applyBorder="1" applyAlignment="1">
      <alignment horizontal="center" vertical="top" wrapText="1"/>
    </xf>
    <xf numFmtId="0" fontId="3" fillId="0" borderId="1" xfId="1" applyFont="1" applyBorder="1" applyAlignment="1">
      <alignment vertical="center" wrapText="1"/>
    </xf>
    <xf numFmtId="0" fontId="21" fillId="0" borderId="2" xfId="2" applyFont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left" vertical="center"/>
    </xf>
    <xf numFmtId="0" fontId="21" fillId="0" borderId="4" xfId="2" applyFont="1" applyBorder="1" applyAlignment="1">
      <alignment horizontal="center" vertical="top" wrapText="1"/>
    </xf>
    <xf numFmtId="0" fontId="8" fillId="0" borderId="4" xfId="2" applyFont="1" applyBorder="1" applyAlignment="1">
      <alignment vertical="center" wrapText="1"/>
    </xf>
    <xf numFmtId="0" fontId="8" fillId="0" borderId="4" xfId="2" applyFont="1" applyBorder="1">
      <alignment vertical="center"/>
    </xf>
    <xf numFmtId="0" fontId="9" fillId="0" borderId="4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left" vertical="center"/>
    </xf>
    <xf numFmtId="0" fontId="21" fillId="0" borderId="6" xfId="2" applyFont="1" applyBorder="1" applyAlignment="1">
      <alignment horizontal="center" vertical="top" wrapText="1"/>
    </xf>
    <xf numFmtId="0" fontId="19" fillId="0" borderId="12" xfId="2" applyFont="1" applyBorder="1" applyAlignment="1">
      <alignment vertical="center" wrapText="1"/>
    </xf>
    <xf numFmtId="0" fontId="4" fillId="0" borderId="12" xfId="2" applyFont="1" applyBorder="1">
      <alignment vertical="center"/>
    </xf>
    <xf numFmtId="0" fontId="4" fillId="0" borderId="12" xfId="2" applyFont="1" applyBorder="1" applyAlignment="1">
      <alignment vertical="center" wrapText="1"/>
    </xf>
    <xf numFmtId="0" fontId="4" fillId="0" borderId="12" xfId="2" applyFont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top" wrapText="1"/>
    </xf>
    <xf numFmtId="0" fontId="8" fillId="0" borderId="16" xfId="1" applyFont="1" applyBorder="1" applyAlignment="1">
      <alignment wrapText="1"/>
    </xf>
    <xf numFmtId="0" fontId="8" fillId="0" borderId="16" xfId="1" applyFont="1" applyBorder="1"/>
    <xf numFmtId="0" fontId="8" fillId="0" borderId="16" xfId="1" applyFont="1" applyBorder="1" applyAlignment="1">
      <alignment vertical="center" wrapText="1"/>
    </xf>
    <xf numFmtId="0" fontId="22" fillId="0" borderId="4" xfId="2" applyFont="1" applyBorder="1" applyAlignment="1">
      <alignment vertical="center" wrapText="1"/>
    </xf>
    <xf numFmtId="0" fontId="22" fillId="0" borderId="0" xfId="2" applyFont="1" applyAlignment="1">
      <alignment vertical="center" wrapText="1"/>
    </xf>
    <xf numFmtId="0" fontId="3" fillId="0" borderId="5" xfId="2" applyFont="1" applyBorder="1" applyAlignment="1">
      <alignment vertical="center" wrapText="1"/>
    </xf>
    <xf numFmtId="0" fontId="19" fillId="0" borderId="12" xfId="2" applyFont="1" applyBorder="1" applyAlignment="1">
      <alignment vertical="center" wrapText="1"/>
    </xf>
    <xf numFmtId="0" fontId="8" fillId="0" borderId="14" xfId="1" applyFont="1" applyBorder="1" applyAlignment="1">
      <alignment vertical="center" wrapText="1"/>
    </xf>
    <xf numFmtId="0" fontId="22" fillId="0" borderId="16" xfId="1" applyFont="1" applyBorder="1"/>
    <xf numFmtId="0" fontId="22" fillId="0" borderId="13" xfId="1" applyFont="1" applyBorder="1" applyAlignment="1">
      <alignment wrapText="1"/>
    </xf>
    <xf numFmtId="0" fontId="22" fillId="0" borderId="16" xfId="1" applyFont="1" applyBorder="1" applyAlignment="1">
      <alignment vertical="center" wrapText="1"/>
    </xf>
    <xf numFmtId="0" fontId="22" fillId="0" borderId="13" xfId="1" applyFont="1" applyBorder="1" applyAlignment="1">
      <alignment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4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9" fillId="0" borderId="0" xfId="2" applyFont="1" applyAlignment="1">
      <alignment vertical="center" wrapText="1"/>
    </xf>
    <xf numFmtId="0" fontId="8" fillId="0" borderId="13" xfId="1" applyFont="1" applyBorder="1"/>
    <xf numFmtId="0" fontId="19" fillId="0" borderId="1" xfId="2" applyFont="1" applyBorder="1" applyAlignment="1">
      <alignment vertical="center" wrapText="1"/>
    </xf>
    <xf numFmtId="0" fontId="22" fillId="0" borderId="0" xfId="1" applyFont="1" applyAlignment="1">
      <alignment vertical="center" wrapText="1"/>
    </xf>
    <xf numFmtId="0" fontId="8" fillId="0" borderId="13" xfId="1" applyFont="1" applyBorder="1" applyAlignment="1">
      <alignment wrapText="1"/>
    </xf>
    <xf numFmtId="0" fontId="8" fillId="0" borderId="14" xfId="1" applyFont="1" applyBorder="1" applyAlignment="1">
      <alignment wrapText="1"/>
    </xf>
    <xf numFmtId="0" fontId="8" fillId="0" borderId="14" xfId="1" applyFont="1" applyBorder="1"/>
    <xf numFmtId="0" fontId="8" fillId="0" borderId="4" xfId="1" applyFont="1" applyBorder="1"/>
    <xf numFmtId="0" fontId="8" fillId="0" borderId="4" xfId="1" applyFont="1" applyBorder="1" applyAlignment="1">
      <alignment wrapText="1"/>
    </xf>
    <xf numFmtId="0" fontId="3" fillId="0" borderId="6" xfId="2" applyFont="1" applyBorder="1" applyAlignment="1">
      <alignment vertical="center" wrapText="1"/>
    </xf>
    <xf numFmtId="0" fontId="7" fillId="0" borderId="6" xfId="2" applyFont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top" wrapText="1"/>
    </xf>
    <xf numFmtId="0" fontId="23" fillId="2" borderId="1" xfId="2" applyFont="1" applyFill="1" applyBorder="1" applyAlignment="1">
      <alignment horizontal="center" vertical="top" wrapText="1"/>
    </xf>
    <xf numFmtId="0" fontId="6" fillId="2" borderId="1" xfId="2" applyFont="1" applyFill="1" applyBorder="1" applyAlignment="1">
      <alignment horizontal="center" vertical="top" wrapText="1"/>
    </xf>
    <xf numFmtId="0" fontId="6" fillId="2" borderId="1" xfId="2" applyFont="1" applyFill="1" applyBorder="1" applyAlignment="1">
      <alignment horizontal="left" vertical="top" wrapText="1"/>
    </xf>
    <xf numFmtId="0" fontId="3" fillId="0" borderId="1" xfId="1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25" fillId="4" borderId="1" xfId="3" applyFont="1" applyFill="1" applyBorder="1" applyAlignment="1">
      <alignment horizontal="left" vertical="center" wrapText="1"/>
    </xf>
    <xf numFmtId="0" fontId="25" fillId="3" borderId="1" xfId="3" applyFont="1" applyBorder="1" applyAlignment="1">
      <alignment horizontal="center" vertical="center" wrapText="1"/>
    </xf>
    <xf numFmtId="0" fontId="26" fillId="0" borderId="1" xfId="1" applyFont="1" applyBorder="1" applyAlignment="1">
      <alignment horizontal="left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25" fillId="3" borderId="1" xfId="3" applyFont="1" applyBorder="1" applyAlignment="1">
      <alignment horizontal="left" vertical="center" wrapText="1"/>
    </xf>
    <xf numFmtId="0" fontId="26" fillId="0" borderId="1" xfId="1" applyFont="1" applyBorder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3" fillId="4" borderId="0" xfId="2" applyFont="1" applyFill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 wrapText="1"/>
    </xf>
    <xf numFmtId="176" fontId="3" fillId="4" borderId="0" xfId="2" applyNumberFormat="1" applyFont="1" applyFill="1" applyAlignment="1">
      <alignment horizontal="center" vertical="center"/>
    </xf>
    <xf numFmtId="0" fontId="27" fillId="5" borderId="0" xfId="2" applyFont="1" applyFill="1" applyAlignment="1">
      <alignment horizontal="center" vertical="center" wrapText="1"/>
    </xf>
    <xf numFmtId="0" fontId="27" fillId="6" borderId="0" xfId="2" applyFont="1" applyFill="1" applyAlignment="1">
      <alignment horizontal="left" vertical="center"/>
    </xf>
    <xf numFmtId="0" fontId="27" fillId="7" borderId="0" xfId="2" applyFont="1" applyFill="1" applyAlignment="1">
      <alignment horizontal="center" vertical="center"/>
    </xf>
    <xf numFmtId="0" fontId="27" fillId="4" borderId="0" xfId="2" applyFont="1" applyFill="1" applyAlignment="1">
      <alignment horizontal="center" vertical="center"/>
    </xf>
    <xf numFmtId="0" fontId="27" fillId="4" borderId="0" xfId="2" applyFont="1" applyFill="1" applyAlignment="1">
      <alignment horizontal="center" vertical="center" wrapText="1"/>
    </xf>
    <xf numFmtId="0" fontId="27" fillId="8" borderId="0" xfId="2" applyFont="1" applyFill="1" applyAlignment="1">
      <alignment horizontal="center" vertical="center"/>
    </xf>
  </cellXfs>
  <cellStyles count="4">
    <cellStyle name="常规" xfId="0" builtinId="0"/>
    <cellStyle name="常规 2" xfId="1" xr:uid="{D17D521D-86E7-4F1E-8EF8-AFC20411A251}"/>
    <cellStyle name="常规 2 2" xfId="2" xr:uid="{2E2FCEB0-4259-4115-B059-2281E2E74DC2}"/>
    <cellStyle name="好 2" xfId="3" xr:uid="{A743C742-1357-4624-9F7A-A2720D2326B9}"/>
  </cellStyles>
  <dxfs count="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70C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BC03-436E-4433-96E3-659A029364D3}">
  <dimension ref="A1:Z268"/>
  <sheetViews>
    <sheetView tabSelected="1" zoomScale="130" zoomScaleNormal="130" workbookViewId="0">
      <pane ySplit="6" topLeftCell="A7" activePane="bottomLeft" state="frozen"/>
      <selection pane="bottomLeft"/>
    </sheetView>
  </sheetViews>
  <sheetFormatPr defaultColWidth="8.25" defaultRowHeight="14"/>
  <cols>
    <col min="1" max="1" width="12.75" style="4" customWidth="1"/>
    <col min="2" max="2" width="8.5" style="6" customWidth="1"/>
    <col min="3" max="3" width="16" style="5" customWidth="1"/>
    <col min="4" max="4" width="18.08203125" style="3" customWidth="1"/>
    <col min="5" max="5" width="11.75" style="4" customWidth="1"/>
    <col min="6" max="6" width="12.5" style="4" customWidth="1"/>
    <col min="7" max="7" width="33.33203125" style="3" customWidth="1"/>
    <col min="8" max="8" width="6.08203125" style="3" customWidth="1"/>
    <col min="9" max="9" width="5.33203125" style="4" customWidth="1"/>
    <col min="10" max="10" width="31.25" style="3" customWidth="1"/>
    <col min="11" max="11" width="9.33203125" style="2" customWidth="1"/>
    <col min="12" max="12" width="16.08203125" style="2" customWidth="1"/>
    <col min="13" max="14" width="8.25" style="2"/>
    <col min="15" max="15" width="8.25" style="2" customWidth="1"/>
    <col min="16" max="17" width="8.25" style="2"/>
    <col min="18" max="18" width="8.25" style="2" customWidth="1"/>
    <col min="19" max="19" width="8.25" style="2"/>
    <col min="20" max="20" width="8.25" style="2" customWidth="1"/>
    <col min="21" max="26" width="8.25" style="2"/>
    <col min="27" max="16384" width="8.25" style="1"/>
  </cols>
  <sheetData>
    <row r="1" spans="1:12">
      <c r="A1" s="166" t="s">
        <v>202</v>
      </c>
      <c r="B1" s="163" t="s">
        <v>201</v>
      </c>
      <c r="C1" s="162" t="s">
        <v>200</v>
      </c>
      <c r="D1" s="161" t="s">
        <v>199</v>
      </c>
      <c r="E1" s="166" t="s">
        <v>198</v>
      </c>
      <c r="F1" s="158"/>
      <c r="G1" s="165"/>
      <c r="H1" s="165"/>
      <c r="I1" s="156"/>
      <c r="J1" s="159"/>
    </row>
    <row r="2" spans="1:12">
      <c r="A2" s="164">
        <f>COUNTA(B66:B960)</f>
        <v>6</v>
      </c>
      <c r="B2" s="163" t="e">
        <f>COUNTIF(#REF!,"Pass")</f>
        <v>#REF!</v>
      </c>
      <c r="C2" s="162" t="e">
        <f>COUNTIF(#REF!,"Fail")</f>
        <v>#REF!</v>
      </c>
      <c r="D2" s="161" t="e">
        <f>COUNTIF(#REF!,"Undef")</f>
        <v>#REF!</v>
      </c>
      <c r="E2" s="160" t="e">
        <f>B2/(B2+C2)</f>
        <v>#REF!</v>
      </c>
      <c r="F2" s="158"/>
      <c r="G2" s="157"/>
      <c r="H2" s="157"/>
      <c r="I2" s="156"/>
      <c r="J2" s="159"/>
    </row>
    <row r="3" spans="1:12">
      <c r="A3" s="158"/>
      <c r="D3" s="159"/>
      <c r="E3" s="158"/>
      <c r="F3" s="158"/>
      <c r="G3" s="157"/>
      <c r="H3" s="157"/>
      <c r="K3" s="156"/>
    </row>
    <row r="4" spans="1:12">
      <c r="A4" s="155"/>
      <c r="B4" s="155"/>
      <c r="C4" s="154" t="s">
        <v>197</v>
      </c>
      <c r="D4" s="153" t="s">
        <v>196</v>
      </c>
      <c r="E4" s="153"/>
      <c r="F4" s="150"/>
      <c r="G4" s="152"/>
      <c r="H4" s="152"/>
      <c r="I4" s="148"/>
      <c r="J4" s="148"/>
      <c r="K4" s="147"/>
      <c r="L4" s="8"/>
    </row>
    <row r="5" spans="1:12">
      <c r="A5" s="151"/>
      <c r="B5" s="151"/>
      <c r="C5" s="151"/>
      <c r="D5" s="151"/>
      <c r="E5" s="151"/>
      <c r="F5" s="150" t="s">
        <v>195</v>
      </c>
      <c r="G5" s="149"/>
      <c r="H5" s="149"/>
      <c r="I5" s="148"/>
      <c r="J5" s="148"/>
      <c r="K5" s="147"/>
      <c r="L5" s="8"/>
    </row>
    <row r="6" spans="1:12" ht="19">
      <c r="A6" s="145" t="s">
        <v>194</v>
      </c>
      <c r="B6" s="145" t="s">
        <v>193</v>
      </c>
      <c r="C6" s="146" t="s">
        <v>192</v>
      </c>
      <c r="D6" s="145" t="s">
        <v>191</v>
      </c>
      <c r="E6" s="145" t="s">
        <v>190</v>
      </c>
      <c r="F6" s="145" t="s">
        <v>189</v>
      </c>
      <c r="G6" s="145" t="s">
        <v>188</v>
      </c>
      <c r="H6" s="145" t="s">
        <v>187</v>
      </c>
      <c r="I6" s="145" t="s">
        <v>186</v>
      </c>
      <c r="J6" s="144" t="s">
        <v>185</v>
      </c>
      <c r="K6" s="144" t="s">
        <v>184</v>
      </c>
      <c r="L6" s="143" t="s">
        <v>183</v>
      </c>
    </row>
    <row r="7" spans="1:12" ht="33" customHeight="1">
      <c r="A7" s="142" t="s">
        <v>182</v>
      </c>
      <c r="B7" s="40" t="s">
        <v>181</v>
      </c>
      <c r="C7" s="16" t="s">
        <v>180</v>
      </c>
      <c r="D7" s="15" t="s">
        <v>179</v>
      </c>
      <c r="E7" s="12" t="s">
        <v>4</v>
      </c>
      <c r="F7" s="36" t="s">
        <v>72</v>
      </c>
      <c r="G7" s="8" t="s">
        <v>168</v>
      </c>
      <c r="H7" s="8"/>
      <c r="I7" s="8"/>
      <c r="J7" s="132" t="s">
        <v>167</v>
      </c>
      <c r="K7" s="12"/>
      <c r="L7" s="99"/>
    </row>
    <row r="8" spans="1:12" ht="21.75" customHeight="1">
      <c r="A8" s="59"/>
      <c r="B8" s="15"/>
      <c r="C8" s="13"/>
      <c r="D8" s="10"/>
      <c r="E8" s="10"/>
      <c r="F8" s="10"/>
      <c r="G8" s="8" t="s">
        <v>166</v>
      </c>
      <c r="H8" s="8"/>
      <c r="I8" s="8"/>
      <c r="J8" s="8" t="s">
        <v>70</v>
      </c>
      <c r="K8" s="12"/>
      <c r="L8" s="99"/>
    </row>
    <row r="9" spans="1:12" ht="33" customHeight="1">
      <c r="A9" s="59"/>
      <c r="B9" s="15"/>
      <c r="C9" s="13"/>
      <c r="D9" s="10"/>
      <c r="E9" s="10"/>
      <c r="F9" s="10"/>
      <c r="G9" s="8" t="s">
        <v>178</v>
      </c>
      <c r="H9" s="8"/>
      <c r="I9" s="8"/>
      <c r="J9" s="8" t="s">
        <v>177</v>
      </c>
      <c r="K9" s="12"/>
      <c r="L9" s="99"/>
    </row>
    <row r="10" spans="1:12" ht="21.75" customHeight="1">
      <c r="A10" s="59"/>
      <c r="B10" s="10"/>
      <c r="C10" s="13"/>
      <c r="D10" s="10"/>
      <c r="E10" s="10"/>
      <c r="F10" s="10"/>
      <c r="G10" s="8" t="s">
        <v>176</v>
      </c>
      <c r="H10" s="8"/>
      <c r="I10" s="8"/>
      <c r="J10" s="141" t="s">
        <v>85</v>
      </c>
      <c r="K10" s="12"/>
      <c r="L10" s="99"/>
    </row>
    <row r="11" spans="1:12">
      <c r="A11" s="59"/>
      <c r="B11" s="10"/>
      <c r="C11" s="13"/>
      <c r="D11" s="10"/>
      <c r="E11" s="10"/>
      <c r="F11" s="10"/>
      <c r="G11" s="8" t="s">
        <v>175</v>
      </c>
      <c r="H11" s="8"/>
      <c r="I11" s="122"/>
      <c r="J11" s="21" t="s">
        <v>161</v>
      </c>
      <c r="K11" s="20"/>
      <c r="L11" s="99"/>
    </row>
    <row r="12" spans="1:12" ht="22.15" customHeight="1">
      <c r="A12" s="59"/>
      <c r="B12" s="10"/>
      <c r="C12" s="13"/>
      <c r="D12" s="10"/>
      <c r="E12" s="10"/>
      <c r="F12" s="10"/>
      <c r="G12" s="8" t="s">
        <v>174</v>
      </c>
      <c r="H12" s="8"/>
      <c r="I12" s="122"/>
      <c r="J12" s="21" t="s">
        <v>159</v>
      </c>
      <c r="K12" s="20"/>
      <c r="L12" s="99"/>
    </row>
    <row r="13" spans="1:12" ht="39" customHeight="1">
      <c r="A13" s="59"/>
      <c r="B13" s="40"/>
      <c r="C13" s="16"/>
      <c r="D13" s="15"/>
      <c r="E13" s="12"/>
      <c r="F13" s="134"/>
      <c r="G13" s="139" t="s">
        <v>173</v>
      </c>
      <c r="H13" s="138"/>
      <c r="J13" s="140" t="s">
        <v>172</v>
      </c>
      <c r="K13" s="20"/>
      <c r="L13" s="99"/>
    </row>
    <row r="14" spans="1:12" ht="39" customHeight="1">
      <c r="A14" s="59"/>
      <c r="B14" s="40"/>
      <c r="C14" s="16"/>
      <c r="D14" s="15"/>
      <c r="E14" s="12"/>
      <c r="F14" s="134"/>
      <c r="G14" s="136" t="s">
        <v>156</v>
      </c>
      <c r="H14" s="118"/>
      <c r="J14" s="140" t="s">
        <v>155</v>
      </c>
      <c r="K14" s="20"/>
      <c r="L14" s="99"/>
    </row>
    <row r="15" spans="1:12" ht="39" customHeight="1">
      <c r="A15" s="59"/>
      <c r="B15" s="40"/>
      <c r="C15" s="16"/>
      <c r="D15" s="15"/>
      <c r="E15" s="12"/>
      <c r="F15" s="134"/>
      <c r="G15" s="133" t="s">
        <v>154</v>
      </c>
      <c r="H15" s="118"/>
      <c r="J15" s="140" t="s">
        <v>153</v>
      </c>
      <c r="K15" s="20"/>
      <c r="L15" s="99"/>
    </row>
    <row r="16" spans="1:12" ht="39" customHeight="1">
      <c r="A16" s="59"/>
      <c r="B16" s="40" t="s">
        <v>171</v>
      </c>
      <c r="C16" s="16" t="s">
        <v>170</v>
      </c>
      <c r="D16" s="15" t="s">
        <v>169</v>
      </c>
      <c r="E16" s="12" t="s">
        <v>4</v>
      </c>
      <c r="F16" s="36" t="s">
        <v>72</v>
      </c>
      <c r="G16" s="8" t="s">
        <v>168</v>
      </c>
      <c r="H16" s="8"/>
      <c r="I16" s="8"/>
      <c r="J16" s="132" t="s">
        <v>167</v>
      </c>
      <c r="K16" s="12"/>
      <c r="L16" s="99"/>
    </row>
    <row r="17" spans="1:12" ht="42.75" customHeight="1">
      <c r="A17" s="59"/>
      <c r="B17" s="10"/>
      <c r="C17" s="16"/>
      <c r="D17" s="15"/>
      <c r="E17" s="12"/>
      <c r="G17" s="8" t="s">
        <v>166</v>
      </c>
      <c r="H17" s="8"/>
      <c r="I17" s="8"/>
      <c r="J17" s="8" t="s">
        <v>70</v>
      </c>
      <c r="K17" s="12"/>
      <c r="L17" s="99"/>
    </row>
    <row r="18" spans="1:12" ht="57.75" customHeight="1">
      <c r="A18" s="59"/>
      <c r="B18" s="10"/>
      <c r="C18" s="16"/>
      <c r="D18" s="15"/>
      <c r="E18" s="12"/>
      <c r="F18" s="8"/>
      <c r="G18" s="8" t="s">
        <v>165</v>
      </c>
      <c r="H18" s="8"/>
      <c r="I18" s="8"/>
      <c r="J18" s="8" t="s">
        <v>164</v>
      </c>
      <c r="K18" s="12"/>
      <c r="L18" s="99"/>
    </row>
    <row r="19" spans="1:12" ht="21.75" customHeight="1">
      <c r="A19" s="59"/>
      <c r="B19" s="10"/>
      <c r="C19" s="13"/>
      <c r="D19" s="10"/>
      <c r="E19" s="10"/>
      <c r="F19" s="10"/>
      <c r="G19" s="8" t="s">
        <v>163</v>
      </c>
      <c r="H19" s="8"/>
      <c r="I19" s="8"/>
      <c r="J19" s="8" t="s">
        <v>85</v>
      </c>
      <c r="K19" s="12"/>
      <c r="L19" s="99"/>
    </row>
    <row r="20" spans="1:12">
      <c r="A20" s="59"/>
      <c r="B20" s="10"/>
      <c r="C20" s="13"/>
      <c r="D20" s="10"/>
      <c r="E20" s="10"/>
      <c r="F20" s="10"/>
      <c r="G20" s="8" t="s">
        <v>162</v>
      </c>
      <c r="H20" s="8"/>
      <c r="I20" s="8"/>
      <c r="J20" s="8" t="s">
        <v>161</v>
      </c>
      <c r="K20" s="12"/>
      <c r="L20" s="99"/>
    </row>
    <row r="21" spans="1:12" ht="21.75" customHeight="1">
      <c r="A21" s="59"/>
      <c r="B21" s="10"/>
      <c r="C21" s="13"/>
      <c r="D21" s="10"/>
      <c r="E21" s="10"/>
      <c r="F21" s="10"/>
      <c r="G21" s="8" t="s">
        <v>160</v>
      </c>
      <c r="H21" s="8"/>
      <c r="I21" s="8"/>
      <c r="J21" s="8" t="s">
        <v>159</v>
      </c>
      <c r="K21" s="12"/>
      <c r="L21" s="99"/>
    </row>
    <row r="22" spans="1:12" ht="43.5" customHeight="1">
      <c r="A22" s="59"/>
      <c r="B22" s="40"/>
      <c r="C22" s="135"/>
      <c r="D22" s="15"/>
      <c r="E22" s="10"/>
      <c r="F22" s="134"/>
      <c r="G22" s="139" t="s">
        <v>158</v>
      </c>
      <c r="H22" s="138"/>
      <c r="I22" s="2"/>
      <c r="J22" s="137" t="s">
        <v>157</v>
      </c>
      <c r="K22" s="12"/>
      <c r="L22" s="99"/>
    </row>
    <row r="23" spans="1:12" ht="21.75" customHeight="1">
      <c r="A23" s="59"/>
      <c r="B23" s="40"/>
      <c r="C23" s="135"/>
      <c r="D23" s="15"/>
      <c r="E23" s="10"/>
      <c r="F23" s="134"/>
      <c r="G23" s="136" t="s">
        <v>156</v>
      </c>
      <c r="H23" s="118"/>
      <c r="I23" s="2"/>
      <c r="J23" s="117" t="s">
        <v>155</v>
      </c>
      <c r="K23" s="12"/>
      <c r="L23" s="99"/>
    </row>
    <row r="24" spans="1:12" ht="21.75" customHeight="1">
      <c r="A24" s="57"/>
      <c r="B24" s="40"/>
      <c r="C24" s="135"/>
      <c r="D24" s="15"/>
      <c r="E24" s="10"/>
      <c r="F24" s="134"/>
      <c r="G24" s="133" t="s">
        <v>154</v>
      </c>
      <c r="H24" s="118"/>
      <c r="I24" s="2"/>
      <c r="J24" s="117" t="s">
        <v>153</v>
      </c>
      <c r="K24" s="12"/>
      <c r="L24" s="99"/>
    </row>
    <row r="25" spans="1:12" ht="21">
      <c r="A25" s="130" t="s">
        <v>151</v>
      </c>
      <c r="B25" s="40"/>
      <c r="C25" s="130" t="s">
        <v>151</v>
      </c>
      <c r="D25" s="15" t="s">
        <v>150</v>
      </c>
      <c r="E25" s="10"/>
      <c r="F25" s="36" t="s">
        <v>72</v>
      </c>
      <c r="G25" s="8" t="s">
        <v>149</v>
      </c>
      <c r="H25" s="8"/>
      <c r="I25" s="8"/>
      <c r="J25" s="132" t="s">
        <v>148</v>
      </c>
      <c r="K25" s="12"/>
      <c r="L25" s="99"/>
    </row>
    <row r="26" spans="1:12">
      <c r="A26" s="10"/>
      <c r="B26" s="40"/>
      <c r="C26" s="16"/>
      <c r="D26" s="15"/>
      <c r="E26" s="10"/>
      <c r="F26" s="36"/>
      <c r="G26" s="8" t="s">
        <v>152</v>
      </c>
      <c r="H26" s="8"/>
      <c r="I26" s="8"/>
      <c r="J26" s="8" t="s">
        <v>146</v>
      </c>
      <c r="K26" s="12"/>
      <c r="L26" s="99"/>
    </row>
    <row r="27" spans="1:12" ht="21">
      <c r="A27" s="16"/>
      <c r="B27" s="40"/>
      <c r="C27" s="120" t="s">
        <v>151</v>
      </c>
      <c r="D27" s="15" t="s">
        <v>150</v>
      </c>
      <c r="E27" s="10"/>
      <c r="F27" s="131" t="s">
        <v>72</v>
      </c>
      <c r="G27" s="14" t="s">
        <v>149</v>
      </c>
      <c r="H27" s="14"/>
      <c r="I27" s="14"/>
      <c r="J27" s="132" t="s">
        <v>148</v>
      </c>
      <c r="K27" s="12"/>
      <c r="L27" s="99"/>
    </row>
    <row r="28" spans="1:12">
      <c r="A28" s="16"/>
      <c r="B28" s="40"/>
      <c r="C28" s="16"/>
      <c r="D28" s="15"/>
      <c r="E28" s="10"/>
      <c r="F28" s="131"/>
      <c r="G28" s="14" t="s">
        <v>147</v>
      </c>
      <c r="H28" s="14"/>
      <c r="I28" s="14"/>
      <c r="J28" s="14" t="s">
        <v>146</v>
      </c>
      <c r="K28" s="12"/>
      <c r="L28" s="99"/>
    </row>
    <row r="29" spans="1:12" ht="31.5">
      <c r="A29" s="16" t="s">
        <v>145</v>
      </c>
      <c r="B29" s="40"/>
      <c r="C29" s="16" t="s">
        <v>145</v>
      </c>
      <c r="D29" s="130" t="s">
        <v>144</v>
      </c>
      <c r="E29" s="129" t="s">
        <v>4</v>
      </c>
      <c r="F29" s="124" t="s">
        <v>139</v>
      </c>
      <c r="G29" s="124" t="s">
        <v>143</v>
      </c>
      <c r="H29" s="124"/>
      <c r="J29" s="124" t="s">
        <v>142</v>
      </c>
      <c r="K29" s="12"/>
      <c r="L29" s="99"/>
    </row>
    <row r="30" spans="1:12" ht="21">
      <c r="A30" s="10"/>
      <c r="B30" s="40"/>
      <c r="C30" s="16"/>
      <c r="D30" s="128"/>
      <c r="E30" s="127"/>
      <c r="F30" s="119"/>
      <c r="G30" s="119" t="s">
        <v>132</v>
      </c>
      <c r="H30" s="119"/>
      <c r="J30" s="119" t="s">
        <v>131</v>
      </c>
      <c r="K30" s="12"/>
      <c r="L30" s="99"/>
    </row>
    <row r="31" spans="1:12">
      <c r="A31" s="10"/>
      <c r="B31" s="40"/>
      <c r="C31" s="16"/>
      <c r="D31" s="126"/>
      <c r="E31" s="125"/>
      <c r="F31" s="118"/>
      <c r="G31" s="118" t="s">
        <v>130</v>
      </c>
      <c r="H31" s="118"/>
      <c r="J31" s="117" t="s">
        <v>129</v>
      </c>
      <c r="K31" s="12"/>
      <c r="L31" s="99"/>
    </row>
    <row r="32" spans="1:12">
      <c r="A32" s="10"/>
      <c r="B32" s="40"/>
      <c r="C32" s="16"/>
      <c r="D32" s="126"/>
      <c r="E32" s="125"/>
      <c r="F32" s="118"/>
      <c r="G32" s="118" t="s">
        <v>128</v>
      </c>
      <c r="H32" s="118"/>
      <c r="J32" s="117" t="s">
        <v>127</v>
      </c>
      <c r="K32" s="12"/>
      <c r="L32" s="99"/>
    </row>
    <row r="33" spans="1:12" ht="32.25" customHeight="1">
      <c r="A33" s="16" t="s">
        <v>141</v>
      </c>
      <c r="B33" s="40"/>
      <c r="C33" s="16" t="s">
        <v>141</v>
      </c>
      <c r="D33" s="15" t="s">
        <v>140</v>
      </c>
      <c r="E33" s="10"/>
      <c r="F33" s="124" t="s">
        <v>139</v>
      </c>
      <c r="G33" s="8" t="s">
        <v>138</v>
      </c>
      <c r="H33" s="8"/>
      <c r="I33" s="122"/>
      <c r="J33" s="123" t="s">
        <v>137</v>
      </c>
      <c r="K33" s="20"/>
      <c r="L33" s="99"/>
    </row>
    <row r="34" spans="1:12" ht="21.75" customHeight="1">
      <c r="A34" s="10"/>
      <c r="B34" s="40"/>
      <c r="C34" s="16"/>
      <c r="D34" s="15"/>
      <c r="E34" s="10"/>
      <c r="F34" s="36"/>
      <c r="G34" s="8" t="s">
        <v>136</v>
      </c>
      <c r="H34" s="8"/>
      <c r="I34" s="122"/>
      <c r="J34" s="79"/>
      <c r="K34" s="20"/>
      <c r="L34" s="99"/>
    </row>
    <row r="35" spans="1:12">
      <c r="A35" s="10"/>
      <c r="B35" s="40"/>
      <c r="C35" s="16"/>
      <c r="D35" s="15"/>
      <c r="E35" s="10"/>
      <c r="F35" s="36"/>
      <c r="G35" s="8" t="s">
        <v>135</v>
      </c>
      <c r="H35" s="8"/>
      <c r="I35" s="122"/>
      <c r="J35" s="73"/>
      <c r="K35" s="20"/>
      <c r="L35" s="99"/>
    </row>
    <row r="36" spans="1:12" ht="19">
      <c r="A36" s="10"/>
      <c r="B36" s="40"/>
      <c r="C36" s="16"/>
      <c r="D36" s="15"/>
      <c r="E36" s="10"/>
      <c r="F36" s="36"/>
      <c r="G36" s="121" t="s">
        <v>134</v>
      </c>
      <c r="H36" s="121"/>
      <c r="J36" s="120" t="s">
        <v>133</v>
      </c>
      <c r="K36" s="20"/>
      <c r="L36" s="99"/>
    </row>
    <row r="37" spans="1:12" ht="21">
      <c r="A37" s="10"/>
      <c r="B37" s="40"/>
      <c r="C37" s="16"/>
      <c r="D37" s="15"/>
      <c r="E37" s="10"/>
      <c r="F37" s="36"/>
      <c r="G37" s="119" t="s">
        <v>132</v>
      </c>
      <c r="H37" s="119"/>
      <c r="I37" s="2"/>
      <c r="J37" s="119" t="s">
        <v>131</v>
      </c>
      <c r="K37" s="12"/>
      <c r="L37" s="99"/>
    </row>
    <row r="38" spans="1:12">
      <c r="A38" s="10"/>
      <c r="B38" s="40"/>
      <c r="C38" s="16"/>
      <c r="D38" s="15"/>
      <c r="E38" s="10"/>
      <c r="F38" s="36"/>
      <c r="G38" s="118" t="s">
        <v>130</v>
      </c>
      <c r="H38" s="118"/>
      <c r="I38" s="2"/>
      <c r="J38" s="117" t="s">
        <v>129</v>
      </c>
      <c r="K38" s="12"/>
      <c r="L38" s="99"/>
    </row>
    <row r="39" spans="1:12">
      <c r="A39" s="10"/>
      <c r="B39" s="40"/>
      <c r="C39" s="16"/>
      <c r="D39" s="15"/>
      <c r="E39" s="10"/>
      <c r="F39" s="36"/>
      <c r="G39" s="118" t="s">
        <v>128</v>
      </c>
      <c r="H39" s="118"/>
      <c r="I39" s="2"/>
      <c r="J39" s="117" t="s">
        <v>127</v>
      </c>
      <c r="K39" s="12"/>
      <c r="L39" s="99"/>
    </row>
    <row r="40" spans="1:12">
      <c r="A40" s="10"/>
      <c r="B40" s="40" t="s">
        <v>126</v>
      </c>
      <c r="C40" s="37" t="s">
        <v>125</v>
      </c>
      <c r="D40" s="35" t="s">
        <v>124</v>
      </c>
      <c r="E40" s="40" t="s">
        <v>4</v>
      </c>
      <c r="F40" s="35" t="s">
        <v>123</v>
      </c>
      <c r="G40" s="35" t="s">
        <v>122</v>
      </c>
      <c r="H40" s="35"/>
      <c r="I40" s="35"/>
      <c r="J40" s="35" t="s">
        <v>121</v>
      </c>
      <c r="K40" s="12"/>
      <c r="L40" s="99"/>
    </row>
    <row r="41" spans="1:12" ht="21">
      <c r="A41" s="10"/>
      <c r="B41" s="91" t="s">
        <v>120</v>
      </c>
      <c r="C41" s="91" t="s">
        <v>119</v>
      </c>
      <c r="D41" s="91" t="s">
        <v>118</v>
      </c>
      <c r="E41" s="91" t="s">
        <v>4</v>
      </c>
      <c r="F41" s="91" t="s">
        <v>117</v>
      </c>
      <c r="G41" s="91" t="s">
        <v>116</v>
      </c>
      <c r="H41" s="92"/>
      <c r="I41" s="26"/>
      <c r="J41" s="91" t="s">
        <v>115</v>
      </c>
      <c r="K41" s="12"/>
      <c r="L41" s="99"/>
    </row>
    <row r="42" spans="1:12" ht="21">
      <c r="A42" s="116"/>
      <c r="B42" s="115"/>
      <c r="C42" s="114"/>
      <c r="D42" s="113"/>
      <c r="E42" s="112"/>
      <c r="F42" s="112"/>
      <c r="G42" s="113"/>
      <c r="H42" s="113"/>
      <c r="I42" s="112"/>
      <c r="J42" s="111" t="s">
        <v>114</v>
      </c>
      <c r="K42" s="87"/>
      <c r="L42" s="110"/>
    </row>
    <row r="43" spans="1:12" ht="21">
      <c r="A43" s="22"/>
      <c r="B43" s="89"/>
      <c r="C43" s="27"/>
      <c r="D43" s="25"/>
      <c r="E43" s="26"/>
      <c r="F43" s="26"/>
      <c r="G43" s="25"/>
      <c r="H43" s="25"/>
      <c r="I43" s="26"/>
      <c r="J43" s="88" t="s">
        <v>113</v>
      </c>
      <c r="K43" s="68"/>
      <c r="L43" s="105"/>
    </row>
    <row r="44" spans="1:12">
      <c r="A44" s="22"/>
      <c r="B44" s="108" t="s">
        <v>105</v>
      </c>
      <c r="C44" s="109" t="s">
        <v>112</v>
      </c>
      <c r="D44" s="106" t="s">
        <v>111</v>
      </c>
      <c r="E44" s="108" t="s">
        <v>4</v>
      </c>
      <c r="F44" s="107" t="s">
        <v>110</v>
      </c>
      <c r="G44" s="106" t="s">
        <v>109</v>
      </c>
      <c r="H44" s="106"/>
      <c r="I44" s="107"/>
      <c r="J44" s="106" t="s">
        <v>108</v>
      </c>
      <c r="K44" s="68"/>
      <c r="L44" s="105"/>
    </row>
    <row r="45" spans="1:12">
      <c r="A45" s="22"/>
      <c r="B45" s="108"/>
      <c r="C45" s="109"/>
      <c r="D45" s="106"/>
      <c r="E45" s="108"/>
      <c r="F45" s="107"/>
      <c r="G45" s="106" t="s">
        <v>107</v>
      </c>
      <c r="H45" s="106"/>
      <c r="I45" s="107"/>
      <c r="J45" s="106" t="s">
        <v>106</v>
      </c>
      <c r="K45" s="68"/>
      <c r="L45" s="105"/>
    </row>
    <row r="46" spans="1:12" ht="21">
      <c r="A46" s="18"/>
      <c r="B46" s="103" t="s">
        <v>105</v>
      </c>
      <c r="C46" s="104" t="s">
        <v>104</v>
      </c>
      <c r="D46" s="42" t="s">
        <v>103</v>
      </c>
      <c r="E46" s="103" t="s">
        <v>4</v>
      </c>
      <c r="F46" s="43" t="s">
        <v>102</v>
      </c>
      <c r="G46" s="42" t="s">
        <v>71</v>
      </c>
      <c r="H46" s="42"/>
      <c r="I46" s="43"/>
      <c r="J46" s="42" t="s">
        <v>101</v>
      </c>
      <c r="K46" s="102"/>
      <c r="L46" s="101"/>
    </row>
    <row r="47" spans="1:12">
      <c r="A47" s="10"/>
      <c r="B47" s="39"/>
      <c r="C47" s="38"/>
      <c r="D47" s="35"/>
      <c r="E47" s="34"/>
      <c r="F47" s="34"/>
      <c r="G47" s="35" t="s">
        <v>100</v>
      </c>
      <c r="H47" s="35"/>
      <c r="I47" s="34"/>
      <c r="J47" s="35" t="s">
        <v>99</v>
      </c>
      <c r="K47" s="12"/>
      <c r="L47" s="99"/>
    </row>
    <row r="48" spans="1:12">
      <c r="A48" s="10"/>
      <c r="B48" s="39"/>
      <c r="C48" s="38"/>
      <c r="D48" s="35"/>
      <c r="E48" s="34"/>
      <c r="F48" s="34"/>
      <c r="G48" s="35" t="s">
        <v>98</v>
      </c>
      <c r="H48" s="35"/>
      <c r="I48" s="34"/>
      <c r="J48" s="35" t="s">
        <v>97</v>
      </c>
      <c r="K48" s="12"/>
      <c r="L48" s="99"/>
    </row>
    <row r="49" spans="1:12" ht="31.5">
      <c r="A49" s="10"/>
      <c r="B49" s="40" t="s">
        <v>96</v>
      </c>
      <c r="C49" s="38" t="s">
        <v>95</v>
      </c>
      <c r="D49" s="35" t="s">
        <v>94</v>
      </c>
      <c r="E49" s="40" t="s">
        <v>4</v>
      </c>
      <c r="F49" s="36" t="s">
        <v>72</v>
      </c>
      <c r="G49" s="36" t="s">
        <v>71</v>
      </c>
      <c r="H49" s="36"/>
      <c r="I49" s="93"/>
      <c r="J49" s="36" t="s">
        <v>87</v>
      </c>
      <c r="K49" s="12"/>
      <c r="L49" s="99"/>
    </row>
    <row r="50" spans="1:12" ht="21">
      <c r="A50" s="10"/>
      <c r="B50" s="97"/>
      <c r="C50" s="96"/>
      <c r="D50" s="95"/>
      <c r="E50" s="41"/>
      <c r="F50" s="98"/>
      <c r="G50" s="100" t="s">
        <v>86</v>
      </c>
      <c r="H50" s="8"/>
      <c r="I50" s="8"/>
      <c r="J50" s="8" t="s">
        <v>85</v>
      </c>
      <c r="K50" s="12"/>
      <c r="L50" s="99"/>
    </row>
    <row r="51" spans="1:12" ht="21">
      <c r="A51" s="8"/>
      <c r="B51" s="97"/>
      <c r="C51" s="96"/>
      <c r="D51" s="95"/>
      <c r="E51" s="41"/>
      <c r="F51" s="98"/>
      <c r="G51" s="36" t="s">
        <v>67</v>
      </c>
      <c r="H51" s="36"/>
      <c r="I51" s="93"/>
      <c r="J51" s="36" t="s">
        <v>84</v>
      </c>
      <c r="K51" s="12"/>
      <c r="L51" s="11"/>
    </row>
    <row r="52" spans="1:12" ht="31.5">
      <c r="A52" s="8"/>
      <c r="B52" s="97"/>
      <c r="C52" s="96"/>
      <c r="D52" s="95"/>
      <c r="E52" s="41"/>
      <c r="F52" s="41"/>
      <c r="G52" s="35" t="s">
        <v>93</v>
      </c>
      <c r="H52" s="35"/>
      <c r="I52" s="34"/>
      <c r="J52" s="35" t="s">
        <v>92</v>
      </c>
      <c r="K52" s="12"/>
      <c r="L52" s="11"/>
    </row>
    <row r="53" spans="1:12" ht="21">
      <c r="A53" s="8"/>
      <c r="B53" s="97"/>
      <c r="C53" s="96"/>
      <c r="D53" s="95"/>
      <c r="E53" s="41"/>
      <c r="F53" s="41"/>
      <c r="G53" s="35" t="s">
        <v>91</v>
      </c>
      <c r="H53" s="35"/>
      <c r="I53" s="34"/>
      <c r="J53" s="35" t="s">
        <v>90</v>
      </c>
      <c r="K53" s="12"/>
      <c r="L53" s="11"/>
    </row>
    <row r="54" spans="1:12" ht="31.5">
      <c r="A54" s="8"/>
      <c r="B54" s="40" t="s">
        <v>79</v>
      </c>
      <c r="C54" s="38" t="s">
        <v>89</v>
      </c>
      <c r="D54" s="35" t="s">
        <v>88</v>
      </c>
      <c r="E54" s="40" t="s">
        <v>4</v>
      </c>
      <c r="F54" s="36" t="s">
        <v>72</v>
      </c>
      <c r="G54" s="36" t="s">
        <v>71</v>
      </c>
      <c r="H54" s="36"/>
      <c r="I54" s="93"/>
      <c r="J54" s="36" t="s">
        <v>87</v>
      </c>
      <c r="K54" s="12"/>
      <c r="L54" s="11"/>
    </row>
    <row r="55" spans="1:12" ht="21">
      <c r="A55" s="8"/>
      <c r="B55" s="97"/>
      <c r="E55" s="41"/>
      <c r="F55" s="98"/>
      <c r="G55" s="8" t="s">
        <v>86</v>
      </c>
      <c r="H55" s="8"/>
      <c r="I55" s="8"/>
      <c r="J55" s="8" t="s">
        <v>85</v>
      </c>
      <c r="K55" s="12"/>
      <c r="L55" s="11"/>
    </row>
    <row r="56" spans="1:12" ht="21">
      <c r="A56" s="8"/>
      <c r="B56" s="97"/>
      <c r="C56" s="96"/>
      <c r="D56" s="95"/>
      <c r="E56" s="41"/>
      <c r="F56" s="98"/>
      <c r="G56" s="36" t="s">
        <v>67</v>
      </c>
      <c r="H56" s="36"/>
      <c r="I56" s="93"/>
      <c r="J56" s="36" t="s">
        <v>84</v>
      </c>
      <c r="K56" s="12"/>
      <c r="L56" s="11"/>
    </row>
    <row r="57" spans="1:12" ht="21">
      <c r="A57" s="8"/>
      <c r="B57" s="97"/>
      <c r="C57" s="96"/>
      <c r="D57" s="95"/>
      <c r="E57" s="41"/>
      <c r="F57" s="41"/>
      <c r="G57" s="35" t="s">
        <v>83</v>
      </c>
      <c r="H57" s="35"/>
      <c r="I57" s="34"/>
      <c r="J57" s="35" t="s">
        <v>82</v>
      </c>
      <c r="K57" s="12"/>
      <c r="L57" s="11"/>
    </row>
    <row r="58" spans="1:12" ht="21">
      <c r="A58" s="8"/>
      <c r="B58" s="97"/>
      <c r="C58" s="96"/>
      <c r="D58" s="95"/>
      <c r="E58" s="41"/>
      <c r="F58" s="41"/>
      <c r="G58" s="35" t="s">
        <v>81</v>
      </c>
      <c r="H58" s="35"/>
      <c r="I58" s="34"/>
      <c r="J58" s="35" t="s">
        <v>80</v>
      </c>
      <c r="K58" s="12"/>
      <c r="L58" s="11"/>
    </row>
    <row r="59" spans="1:12" ht="33" customHeight="1">
      <c r="A59" s="94"/>
      <c r="B59" s="40" t="s">
        <v>79</v>
      </c>
      <c r="C59" s="38" t="s">
        <v>74</v>
      </c>
      <c r="D59" s="35" t="s">
        <v>78</v>
      </c>
      <c r="E59" s="40" t="s">
        <v>4</v>
      </c>
      <c r="F59" s="36" t="s">
        <v>72</v>
      </c>
      <c r="G59" s="35" t="s">
        <v>77</v>
      </c>
      <c r="H59" s="35"/>
      <c r="I59" s="34"/>
      <c r="J59" s="35" t="s">
        <v>76</v>
      </c>
      <c r="K59" s="12"/>
      <c r="L59" s="11"/>
    </row>
    <row r="60" spans="1:12" ht="33" customHeight="1">
      <c r="A60" s="59"/>
      <c r="B60" s="40" t="s">
        <v>75</v>
      </c>
      <c r="C60" s="38" t="s">
        <v>74</v>
      </c>
      <c r="D60" s="35" t="s">
        <v>73</v>
      </c>
      <c r="E60" s="40" t="s">
        <v>4</v>
      </c>
      <c r="F60" s="36" t="s">
        <v>72</v>
      </c>
      <c r="G60" s="36" t="s">
        <v>71</v>
      </c>
      <c r="H60" s="36"/>
      <c r="I60" s="93"/>
      <c r="J60" s="36" t="s">
        <v>70</v>
      </c>
      <c r="K60" s="12"/>
      <c r="L60" s="11"/>
    </row>
    <row r="61" spans="1:12">
      <c r="A61" s="59"/>
      <c r="B61" s="39"/>
      <c r="C61" s="38"/>
      <c r="D61" s="35"/>
      <c r="E61" s="34"/>
      <c r="F61" s="34"/>
      <c r="G61" s="36" t="s">
        <v>69</v>
      </c>
      <c r="H61" s="36"/>
      <c r="I61" s="93"/>
      <c r="J61" s="35" t="s">
        <v>68</v>
      </c>
      <c r="K61" s="12"/>
      <c r="L61" s="11"/>
    </row>
    <row r="62" spans="1:12" ht="21.75" customHeight="1">
      <c r="A62" s="59"/>
      <c r="B62" s="39"/>
      <c r="C62" s="38"/>
      <c r="D62" s="35"/>
      <c r="E62" s="34"/>
      <c r="F62" s="34"/>
      <c r="G62" s="36" t="s">
        <v>67</v>
      </c>
      <c r="H62" s="36"/>
      <c r="I62" s="93"/>
      <c r="J62" s="36" t="s">
        <v>66</v>
      </c>
      <c r="K62" s="12"/>
      <c r="L62" s="11"/>
    </row>
    <row r="63" spans="1:12">
      <c r="A63" s="59"/>
      <c r="B63" s="39"/>
      <c r="C63" s="38"/>
      <c r="D63" s="35"/>
      <c r="E63" s="34"/>
      <c r="F63" s="34"/>
      <c r="G63" s="35" t="s">
        <v>65</v>
      </c>
      <c r="H63" s="35"/>
      <c r="I63" s="34"/>
      <c r="J63" s="35" t="s">
        <v>64</v>
      </c>
      <c r="K63" s="12"/>
      <c r="L63" s="11"/>
    </row>
    <row r="64" spans="1:12" ht="21.75" customHeight="1">
      <c r="A64" s="90"/>
      <c r="B64" s="91" t="s">
        <v>63</v>
      </c>
      <c r="C64" s="91" t="s">
        <v>62</v>
      </c>
      <c r="D64" s="91" t="s">
        <v>61</v>
      </c>
      <c r="E64" s="91" t="s">
        <v>4</v>
      </c>
      <c r="F64" s="91" t="s">
        <v>60</v>
      </c>
      <c r="G64" s="91" t="s">
        <v>59</v>
      </c>
      <c r="H64" s="92"/>
      <c r="I64" s="26"/>
      <c r="J64" s="91" t="s">
        <v>58</v>
      </c>
      <c r="K64" s="87"/>
      <c r="L64" s="86"/>
    </row>
    <row r="65" spans="1:26" ht="21.75" customHeight="1">
      <c r="A65" s="90"/>
      <c r="B65" s="89"/>
      <c r="C65" s="27"/>
      <c r="D65" s="25"/>
      <c r="E65" s="26"/>
      <c r="F65" s="26"/>
      <c r="G65" s="25"/>
      <c r="H65" s="25"/>
      <c r="I65" s="26"/>
      <c r="J65" s="88" t="s">
        <v>57</v>
      </c>
      <c r="K65" s="87"/>
      <c r="L65" s="86"/>
    </row>
    <row r="66" spans="1:26" ht="91.5" customHeight="1">
      <c r="A66" s="80" t="s">
        <v>56</v>
      </c>
      <c r="B66" s="85" t="s">
        <v>55</v>
      </c>
      <c r="C66" s="77" t="s">
        <v>54</v>
      </c>
      <c r="D66" s="77" t="s">
        <v>53</v>
      </c>
      <c r="E66" s="85" t="s">
        <v>4</v>
      </c>
      <c r="F66" s="77" t="s">
        <v>52</v>
      </c>
      <c r="G66" s="77" t="s">
        <v>51</v>
      </c>
      <c r="H66" s="85"/>
      <c r="I66" s="26"/>
      <c r="J66" s="77" t="s">
        <v>50</v>
      </c>
      <c r="K66" s="84"/>
      <c r="L66" s="83"/>
    </row>
    <row r="67" spans="1:26" s="74" customFormat="1" ht="120" customHeight="1">
      <c r="A67" s="79"/>
      <c r="B67" s="82" t="s">
        <v>49</v>
      </c>
      <c r="C67" s="82" t="s">
        <v>48</v>
      </c>
      <c r="D67" s="82" t="s">
        <v>44</v>
      </c>
      <c r="E67" s="82" t="s">
        <v>4</v>
      </c>
      <c r="F67" s="82" t="s">
        <v>43</v>
      </c>
      <c r="G67" s="82" t="s">
        <v>42</v>
      </c>
      <c r="H67" s="82"/>
      <c r="I67" s="78"/>
      <c r="J67" s="82" t="s">
        <v>47</v>
      </c>
      <c r="K67" s="81"/>
      <c r="L67" s="7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74" customFormat="1" ht="120" customHeight="1">
      <c r="A68" s="79"/>
      <c r="B68" s="82" t="s">
        <v>46</v>
      </c>
      <c r="C68" s="82" t="s">
        <v>45</v>
      </c>
      <c r="D68" s="82" t="s">
        <v>44</v>
      </c>
      <c r="E68" s="82" t="s">
        <v>4</v>
      </c>
      <c r="F68" s="82" t="s">
        <v>43</v>
      </c>
      <c r="G68" s="82" t="s">
        <v>42</v>
      </c>
      <c r="H68" s="82"/>
      <c r="I68" s="78"/>
      <c r="J68" s="82" t="s">
        <v>41</v>
      </c>
      <c r="K68" s="81"/>
      <c r="L68" s="7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74" customFormat="1" ht="120" customHeight="1">
      <c r="A69" s="80" t="s">
        <v>40</v>
      </c>
      <c r="B69" s="77" t="s">
        <v>39</v>
      </c>
      <c r="C69" s="77" t="s">
        <v>38</v>
      </c>
      <c r="D69" s="77" t="s">
        <v>37</v>
      </c>
      <c r="E69" s="77" t="s">
        <v>4</v>
      </c>
      <c r="F69" s="77" t="s">
        <v>36</v>
      </c>
      <c r="G69" s="77" t="s">
        <v>35</v>
      </c>
      <c r="H69" s="77"/>
      <c r="I69" s="78"/>
      <c r="J69" s="77" t="s">
        <v>34</v>
      </c>
      <c r="K69" s="76"/>
      <c r="L69" s="7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s="74" customFormat="1" ht="120" customHeight="1">
      <c r="A70" s="79"/>
      <c r="B70" s="77" t="s">
        <v>33</v>
      </c>
      <c r="C70" s="77" t="s">
        <v>32</v>
      </c>
      <c r="D70" s="77" t="s">
        <v>28</v>
      </c>
      <c r="E70" s="77" t="s">
        <v>4</v>
      </c>
      <c r="F70" s="77" t="s">
        <v>27</v>
      </c>
      <c r="G70" s="77" t="s">
        <v>26</v>
      </c>
      <c r="H70" s="77"/>
      <c r="I70" s="78"/>
      <c r="J70" s="77" t="s">
        <v>31</v>
      </c>
      <c r="K70" s="76"/>
      <c r="L70" s="7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0" customHeight="1">
      <c r="A71" s="73"/>
      <c r="B71" s="72" t="s">
        <v>30</v>
      </c>
      <c r="C71" s="69" t="s">
        <v>29</v>
      </c>
      <c r="D71" s="69" t="s">
        <v>28</v>
      </c>
      <c r="E71" s="69" t="s">
        <v>4</v>
      </c>
      <c r="F71" s="69" t="s">
        <v>27</v>
      </c>
      <c r="G71" s="71" t="s">
        <v>26</v>
      </c>
      <c r="H71" s="69"/>
      <c r="I71" s="70"/>
      <c r="J71" s="69" t="s">
        <v>25</v>
      </c>
      <c r="K71" s="68"/>
      <c r="L71" s="67"/>
    </row>
    <row r="72" spans="1:26" ht="33" customHeight="1">
      <c r="A72" s="66" t="s">
        <v>24</v>
      </c>
      <c r="B72" s="65"/>
      <c r="C72" s="64" t="s">
        <v>23</v>
      </c>
      <c r="D72" s="55" t="s">
        <v>22</v>
      </c>
      <c r="E72" s="47" t="s">
        <v>4</v>
      </c>
      <c r="F72" s="55" t="s">
        <v>3</v>
      </c>
      <c r="G72" s="55" t="s">
        <v>9</v>
      </c>
      <c r="H72" s="55"/>
      <c r="I72" s="63"/>
      <c r="J72" s="55" t="s">
        <v>21</v>
      </c>
      <c r="K72" s="62"/>
      <c r="L72" s="11"/>
    </row>
    <row r="73" spans="1:26" ht="33" customHeight="1">
      <c r="A73" s="59"/>
      <c r="B73" s="58"/>
      <c r="C73" s="56" t="s">
        <v>20</v>
      </c>
      <c r="D73" s="55" t="s">
        <v>19</v>
      </c>
      <c r="E73" s="47" t="s">
        <v>4</v>
      </c>
      <c r="F73" s="46" t="s">
        <v>3</v>
      </c>
      <c r="G73" s="55" t="s">
        <v>9</v>
      </c>
      <c r="H73" s="61"/>
      <c r="I73" s="61"/>
      <c r="J73" s="60" t="s">
        <v>18</v>
      </c>
      <c r="K73" s="20"/>
      <c r="L73" s="11"/>
    </row>
    <row r="74" spans="1:26" ht="33" customHeight="1">
      <c r="A74" s="59"/>
      <c r="B74" s="54"/>
      <c r="C74" s="56" t="s">
        <v>17</v>
      </c>
      <c r="D74" s="55" t="s">
        <v>16</v>
      </c>
      <c r="E74" s="47" t="s">
        <v>4</v>
      </c>
      <c r="F74" s="46" t="s">
        <v>3</v>
      </c>
      <c r="G74" s="55" t="s">
        <v>9</v>
      </c>
      <c r="H74" s="46"/>
      <c r="I74" s="52"/>
      <c r="J74" s="46" t="s">
        <v>15</v>
      </c>
      <c r="K74" s="20"/>
      <c r="L74" s="11"/>
    </row>
    <row r="75" spans="1:26" ht="33" customHeight="1">
      <c r="A75" s="59"/>
      <c r="B75" s="58"/>
      <c r="C75" s="56" t="s">
        <v>14</v>
      </c>
      <c r="D75" s="55" t="s">
        <v>13</v>
      </c>
      <c r="E75" s="47" t="s">
        <v>4</v>
      </c>
      <c r="F75" s="46" t="s">
        <v>3</v>
      </c>
      <c r="G75" s="55" t="s">
        <v>9</v>
      </c>
      <c r="H75" s="46"/>
      <c r="I75" s="52"/>
      <c r="J75" s="46" t="s">
        <v>12</v>
      </c>
      <c r="K75" s="20"/>
      <c r="L75" s="11"/>
    </row>
    <row r="76" spans="1:26" ht="33" customHeight="1">
      <c r="A76" s="57"/>
      <c r="B76" s="54"/>
      <c r="C76" s="56" t="s">
        <v>11</v>
      </c>
      <c r="D76" s="55" t="s">
        <v>10</v>
      </c>
      <c r="E76" s="47" t="s">
        <v>4</v>
      </c>
      <c r="F76" s="46" t="s">
        <v>3</v>
      </c>
      <c r="G76" s="55" t="s">
        <v>9</v>
      </c>
      <c r="H76" s="46"/>
      <c r="I76" s="52"/>
      <c r="J76" s="46" t="s">
        <v>8</v>
      </c>
      <c r="K76" s="20"/>
      <c r="L76" s="11"/>
    </row>
    <row r="77" spans="1:26">
      <c r="A77" s="41"/>
      <c r="B77" s="54"/>
      <c r="C77" s="53"/>
      <c r="D77" s="46"/>
      <c r="E77" s="52"/>
      <c r="F77" s="52"/>
      <c r="G77" s="46"/>
      <c r="H77" s="46"/>
      <c r="I77" s="52"/>
      <c r="J77" s="46"/>
      <c r="K77" s="20"/>
      <c r="L77" s="11"/>
    </row>
    <row r="78" spans="1:26" ht="31.5">
      <c r="A78" s="51" t="s">
        <v>7</v>
      </c>
      <c r="B78" s="50"/>
      <c r="C78" s="49" t="s">
        <v>6</v>
      </c>
      <c r="D78" s="48" t="s">
        <v>5</v>
      </c>
      <c r="E78" s="47" t="s">
        <v>4</v>
      </c>
      <c r="F78" s="46" t="s">
        <v>3</v>
      </c>
      <c r="G78" s="45" t="s">
        <v>2</v>
      </c>
      <c r="H78" s="44" t="s">
        <v>1</v>
      </c>
      <c r="I78" s="43"/>
      <c r="J78" s="42" t="s">
        <v>0</v>
      </c>
      <c r="K78" s="12"/>
      <c r="L78" s="11"/>
    </row>
    <row r="79" spans="1:26">
      <c r="A79" s="41"/>
      <c r="B79" s="40"/>
      <c r="C79" s="38"/>
      <c r="D79" s="35"/>
      <c r="E79" s="40"/>
      <c r="F79" s="34"/>
      <c r="G79" s="35"/>
      <c r="H79" s="35"/>
      <c r="I79" s="34"/>
      <c r="J79" s="35"/>
      <c r="K79" s="12"/>
      <c r="L79" s="11"/>
    </row>
    <row r="80" spans="1:26">
      <c r="A80" s="41"/>
      <c r="B80" s="39"/>
      <c r="C80" s="38"/>
      <c r="D80" s="35"/>
      <c r="E80" s="34"/>
      <c r="F80" s="34"/>
      <c r="G80" s="35"/>
      <c r="H80" s="35"/>
      <c r="I80" s="34"/>
      <c r="J80" s="35"/>
      <c r="K80" s="12"/>
      <c r="L80" s="11"/>
    </row>
    <row r="81" spans="1:12">
      <c r="A81" s="41"/>
      <c r="B81" s="39"/>
      <c r="C81" s="38"/>
      <c r="D81" s="35"/>
      <c r="E81" s="34"/>
      <c r="F81" s="34"/>
      <c r="G81" s="35"/>
      <c r="H81" s="35"/>
      <c r="I81" s="34"/>
      <c r="J81" s="35"/>
      <c r="K81" s="12"/>
      <c r="L81" s="11"/>
    </row>
    <row r="82" spans="1:12">
      <c r="A82" s="41"/>
      <c r="B82" s="40"/>
      <c r="C82" s="38"/>
      <c r="D82" s="35"/>
      <c r="E82" s="40"/>
      <c r="F82" s="34"/>
      <c r="G82" s="35"/>
      <c r="H82" s="35"/>
      <c r="I82" s="34"/>
      <c r="J82" s="35"/>
      <c r="K82" s="12"/>
      <c r="L82" s="11"/>
    </row>
    <row r="83" spans="1:12">
      <c r="A83" s="41"/>
      <c r="B83" s="39"/>
      <c r="C83" s="38"/>
      <c r="D83" s="35"/>
      <c r="E83" s="34"/>
      <c r="F83" s="34"/>
      <c r="G83" s="35"/>
      <c r="H83" s="35"/>
      <c r="I83" s="34"/>
      <c r="J83" s="35"/>
      <c r="K83" s="12"/>
      <c r="L83" s="11"/>
    </row>
    <row r="84" spans="1:12">
      <c r="A84" s="34"/>
      <c r="B84" s="40"/>
      <c r="C84" s="37"/>
      <c r="D84" s="35"/>
      <c r="E84" s="34"/>
      <c r="F84" s="36"/>
      <c r="G84" s="35"/>
      <c r="H84" s="35"/>
      <c r="I84" s="34"/>
      <c r="J84" s="35"/>
      <c r="K84" s="12"/>
      <c r="L84" s="11"/>
    </row>
    <row r="85" spans="1:12">
      <c r="A85" s="34"/>
      <c r="B85" s="39"/>
      <c r="C85" s="38"/>
      <c r="D85" s="35"/>
      <c r="E85" s="34"/>
      <c r="F85" s="36"/>
      <c r="G85" s="35"/>
      <c r="H85" s="35"/>
      <c r="I85" s="34"/>
      <c r="J85" s="35"/>
      <c r="K85" s="12"/>
      <c r="L85" s="11"/>
    </row>
    <row r="86" spans="1:12">
      <c r="A86" s="34"/>
      <c r="B86" s="40"/>
      <c r="C86" s="37"/>
      <c r="D86" s="35"/>
      <c r="E86" s="34"/>
      <c r="F86" s="36"/>
      <c r="G86" s="35"/>
      <c r="H86" s="35"/>
      <c r="I86" s="34"/>
      <c r="J86" s="35"/>
      <c r="K86" s="12"/>
      <c r="L86" s="11"/>
    </row>
    <row r="87" spans="1:12">
      <c r="A87" s="34"/>
      <c r="B87" s="39"/>
      <c r="C87" s="38"/>
      <c r="D87" s="35"/>
      <c r="E87" s="34"/>
      <c r="F87" s="36"/>
      <c r="G87" s="35"/>
      <c r="H87" s="35"/>
      <c r="I87" s="34"/>
      <c r="J87" s="35"/>
      <c r="K87" s="12"/>
      <c r="L87" s="11"/>
    </row>
    <row r="88" spans="1:12">
      <c r="A88" s="34"/>
      <c r="B88" s="40"/>
      <c r="C88" s="37"/>
      <c r="D88" s="35"/>
      <c r="E88" s="34"/>
      <c r="F88" s="36"/>
      <c r="G88" s="35"/>
      <c r="H88" s="35"/>
      <c r="I88" s="34"/>
      <c r="J88" s="35"/>
      <c r="K88" s="12"/>
      <c r="L88" s="11"/>
    </row>
    <row r="89" spans="1:12">
      <c r="A89" s="34"/>
      <c r="B89" s="39"/>
      <c r="C89" s="38"/>
      <c r="D89" s="35"/>
      <c r="E89" s="34"/>
      <c r="F89" s="36"/>
      <c r="G89" s="35"/>
      <c r="H89" s="35"/>
      <c r="I89" s="34"/>
      <c r="J89" s="35"/>
      <c r="K89" s="12"/>
      <c r="L89" s="11"/>
    </row>
    <row r="90" spans="1:12">
      <c r="A90" s="34"/>
      <c r="B90" s="15"/>
      <c r="C90" s="37"/>
      <c r="D90" s="35"/>
      <c r="E90" s="34"/>
      <c r="F90" s="36"/>
      <c r="G90" s="35"/>
      <c r="H90" s="35"/>
      <c r="I90" s="34"/>
      <c r="J90" s="35"/>
      <c r="K90" s="12"/>
      <c r="L90" s="11"/>
    </row>
    <row r="91" spans="1:12">
      <c r="A91" s="34"/>
      <c r="B91" s="33"/>
      <c r="C91" s="32"/>
      <c r="D91" s="29"/>
      <c r="E91" s="30"/>
      <c r="F91" s="31"/>
      <c r="G91" s="29"/>
      <c r="H91" s="29"/>
      <c r="I91" s="30"/>
      <c r="J91" s="29"/>
      <c r="K91" s="12"/>
      <c r="L91" s="11"/>
    </row>
    <row r="92" spans="1:12">
      <c r="A92" s="24"/>
      <c r="B92" s="28"/>
      <c r="C92" s="27"/>
      <c r="D92" s="25"/>
      <c r="E92" s="26"/>
      <c r="F92" s="26"/>
      <c r="G92" s="25"/>
      <c r="H92" s="25"/>
      <c r="I92" s="26"/>
      <c r="J92" s="25"/>
      <c r="K92" s="20"/>
      <c r="L92" s="11"/>
    </row>
    <row r="93" spans="1:12">
      <c r="A93" s="24"/>
      <c r="B93" s="22"/>
      <c r="C93" s="27"/>
      <c r="D93" s="25"/>
      <c r="E93" s="26"/>
      <c r="F93" s="26"/>
      <c r="G93" s="25"/>
      <c r="H93" s="25"/>
      <c r="I93" s="26"/>
      <c r="J93" s="25"/>
      <c r="K93" s="20"/>
      <c r="L93" s="11"/>
    </row>
    <row r="94" spans="1:12">
      <c r="A94" s="24"/>
      <c r="B94" s="22"/>
      <c r="C94" s="27"/>
      <c r="D94" s="25"/>
      <c r="E94" s="26"/>
      <c r="F94" s="26"/>
      <c r="G94" s="25"/>
      <c r="H94" s="25"/>
      <c r="I94" s="26"/>
      <c r="J94" s="25"/>
      <c r="K94" s="20"/>
      <c r="L94" s="11"/>
    </row>
    <row r="95" spans="1:12">
      <c r="A95" s="24"/>
      <c r="B95" s="22"/>
      <c r="C95" s="27"/>
      <c r="D95" s="25"/>
      <c r="E95" s="26"/>
      <c r="F95" s="26"/>
      <c r="G95" s="25"/>
      <c r="H95" s="25"/>
      <c r="I95" s="26"/>
      <c r="J95" s="25"/>
      <c r="K95" s="20"/>
      <c r="L95" s="11"/>
    </row>
    <row r="96" spans="1:12">
      <c r="A96" s="24"/>
      <c r="B96" s="22"/>
      <c r="C96" s="27"/>
      <c r="D96" s="25"/>
      <c r="E96" s="26"/>
      <c r="F96" s="26"/>
      <c r="G96" s="25"/>
      <c r="H96" s="25"/>
      <c r="I96" s="26"/>
      <c r="J96" s="25"/>
      <c r="K96" s="20"/>
      <c r="L96" s="11"/>
    </row>
    <row r="97" spans="1:12">
      <c r="A97" s="24"/>
      <c r="B97" s="22"/>
      <c r="C97" s="27"/>
      <c r="D97" s="25"/>
      <c r="E97" s="26"/>
      <c r="F97" s="26"/>
      <c r="G97" s="25"/>
      <c r="H97" s="25"/>
      <c r="I97" s="26"/>
      <c r="J97" s="25"/>
      <c r="K97" s="20"/>
      <c r="L97" s="11"/>
    </row>
    <row r="98" spans="1:12">
      <c r="A98" s="24"/>
      <c r="B98" s="22"/>
      <c r="C98" s="27"/>
      <c r="D98" s="25"/>
      <c r="E98" s="26"/>
      <c r="F98" s="26"/>
      <c r="G98" s="25"/>
      <c r="H98" s="25"/>
      <c r="I98" s="26"/>
      <c r="J98" s="25"/>
      <c r="K98" s="20"/>
      <c r="L98" s="11"/>
    </row>
    <row r="99" spans="1:12">
      <c r="A99" s="24"/>
      <c r="B99" s="22"/>
      <c r="C99" s="27"/>
      <c r="D99" s="25"/>
      <c r="E99" s="26"/>
      <c r="F99" s="26"/>
      <c r="G99" s="25"/>
      <c r="H99" s="25"/>
      <c r="I99" s="26"/>
      <c r="J99" s="25"/>
      <c r="K99" s="20"/>
      <c r="L99" s="11"/>
    </row>
    <row r="100" spans="1:12">
      <c r="A100" s="24"/>
      <c r="B100" s="22"/>
      <c r="C100" s="27"/>
      <c r="D100" s="25"/>
      <c r="E100" s="26"/>
      <c r="F100" s="26"/>
      <c r="G100" s="25"/>
      <c r="H100" s="25"/>
      <c r="I100" s="26"/>
      <c r="J100" s="25"/>
      <c r="K100" s="20"/>
      <c r="L100" s="11"/>
    </row>
    <row r="101" spans="1:12">
      <c r="A101" s="24"/>
      <c r="B101" s="22"/>
      <c r="C101" s="27"/>
      <c r="D101" s="25"/>
      <c r="E101" s="26"/>
      <c r="F101" s="26"/>
      <c r="G101" s="25"/>
      <c r="H101" s="25"/>
      <c r="I101" s="26"/>
      <c r="J101" s="25"/>
      <c r="K101" s="20"/>
      <c r="L101" s="11"/>
    </row>
    <row r="102" spans="1:12">
      <c r="A102" s="24"/>
      <c r="B102" s="22"/>
      <c r="C102" s="27"/>
      <c r="D102" s="25"/>
      <c r="E102" s="26"/>
      <c r="F102" s="26"/>
      <c r="G102" s="25"/>
      <c r="H102" s="25"/>
      <c r="I102" s="26"/>
      <c r="J102" s="25"/>
      <c r="K102" s="20"/>
      <c r="L102" s="11"/>
    </row>
    <row r="103" spans="1:12">
      <c r="A103" s="24"/>
      <c r="B103" s="22"/>
      <c r="C103" s="27"/>
      <c r="D103" s="25"/>
      <c r="E103" s="26"/>
      <c r="F103" s="26"/>
      <c r="G103" s="25"/>
      <c r="H103" s="25"/>
      <c r="I103" s="26"/>
      <c r="J103" s="25"/>
      <c r="K103" s="20"/>
      <c r="L103" s="11"/>
    </row>
    <row r="104" spans="1:12">
      <c r="A104" s="24"/>
      <c r="B104" s="22"/>
      <c r="C104" s="27"/>
      <c r="D104" s="25"/>
      <c r="E104" s="26"/>
      <c r="F104" s="26"/>
      <c r="G104" s="25"/>
      <c r="H104" s="25"/>
      <c r="I104" s="26"/>
      <c r="J104" s="25"/>
      <c r="K104" s="20"/>
      <c r="L104" s="11"/>
    </row>
    <row r="105" spans="1:12">
      <c r="A105" s="24"/>
      <c r="B105" s="28"/>
      <c r="C105" s="27"/>
      <c r="D105" s="25"/>
      <c r="E105" s="26"/>
      <c r="F105" s="26"/>
      <c r="G105" s="25"/>
      <c r="H105" s="25"/>
      <c r="I105" s="26"/>
      <c r="J105" s="25"/>
      <c r="K105" s="20"/>
      <c r="L105" s="11"/>
    </row>
    <row r="106" spans="1:12">
      <c r="A106" s="24"/>
      <c r="B106" s="22"/>
      <c r="C106" s="27"/>
      <c r="D106" s="25"/>
      <c r="E106" s="26"/>
      <c r="F106" s="26"/>
      <c r="G106" s="25"/>
      <c r="H106" s="25"/>
      <c r="I106" s="26"/>
      <c r="J106" s="25"/>
      <c r="K106" s="20"/>
      <c r="L106" s="11"/>
    </row>
    <row r="107" spans="1:12">
      <c r="A107" s="24"/>
      <c r="B107" s="28"/>
      <c r="C107" s="27"/>
      <c r="D107" s="25"/>
      <c r="E107" s="26"/>
      <c r="F107" s="26"/>
      <c r="G107" s="25"/>
      <c r="H107" s="25"/>
      <c r="I107" s="26"/>
      <c r="J107" s="25"/>
      <c r="K107" s="20"/>
      <c r="L107" s="11"/>
    </row>
    <row r="108" spans="1:12">
      <c r="A108" s="24"/>
      <c r="B108" s="28"/>
      <c r="C108" s="27"/>
      <c r="D108" s="25"/>
      <c r="E108" s="26"/>
      <c r="F108" s="26"/>
      <c r="G108" s="25"/>
      <c r="H108" s="25"/>
      <c r="I108" s="26"/>
      <c r="J108" s="25"/>
      <c r="K108" s="20"/>
      <c r="L108" s="11"/>
    </row>
    <row r="109" spans="1:12">
      <c r="A109" s="24"/>
      <c r="B109" s="22"/>
      <c r="C109" s="27"/>
      <c r="D109" s="25"/>
      <c r="E109" s="26"/>
      <c r="F109" s="26"/>
      <c r="G109" s="25"/>
      <c r="H109" s="25"/>
      <c r="I109" s="26"/>
      <c r="J109" s="25"/>
      <c r="K109" s="20"/>
      <c r="L109" s="11"/>
    </row>
    <row r="110" spans="1:12">
      <c r="A110" s="24"/>
      <c r="B110" s="22"/>
      <c r="C110" s="27"/>
      <c r="D110" s="25"/>
      <c r="E110" s="26"/>
      <c r="F110" s="26"/>
      <c r="G110" s="25"/>
      <c r="H110" s="25"/>
      <c r="I110" s="26"/>
      <c r="J110" s="25"/>
      <c r="K110" s="20"/>
      <c r="L110" s="11"/>
    </row>
    <row r="111" spans="1:12">
      <c r="A111" s="24"/>
      <c r="B111" s="22"/>
      <c r="C111" s="27"/>
      <c r="D111" s="25"/>
      <c r="E111" s="26"/>
      <c r="F111" s="26"/>
      <c r="G111" s="25"/>
      <c r="H111" s="25"/>
      <c r="I111" s="26"/>
      <c r="J111" s="25"/>
      <c r="K111" s="20"/>
      <c r="L111" s="11"/>
    </row>
    <row r="112" spans="1:12">
      <c r="A112" s="24"/>
      <c r="B112" s="22"/>
      <c r="C112" s="27"/>
      <c r="D112" s="25"/>
      <c r="E112" s="26"/>
      <c r="F112" s="26"/>
      <c r="G112" s="25"/>
      <c r="H112" s="25"/>
      <c r="I112" s="26"/>
      <c r="J112" s="25"/>
      <c r="K112" s="20"/>
      <c r="L112" s="11"/>
    </row>
    <row r="113" spans="1:12">
      <c r="A113" s="24"/>
      <c r="B113" s="22"/>
      <c r="C113" s="27"/>
      <c r="D113" s="25"/>
      <c r="E113" s="26"/>
      <c r="F113" s="26"/>
      <c r="G113" s="25"/>
      <c r="H113" s="25"/>
      <c r="I113" s="26"/>
      <c r="J113" s="25"/>
      <c r="K113" s="20"/>
      <c r="L113" s="11"/>
    </row>
    <row r="114" spans="1:12">
      <c r="A114" s="24"/>
      <c r="B114" s="22"/>
      <c r="C114" s="27"/>
      <c r="D114" s="25"/>
      <c r="E114" s="26"/>
      <c r="F114" s="26"/>
      <c r="G114" s="25"/>
      <c r="H114" s="25"/>
      <c r="I114" s="26"/>
      <c r="J114" s="25"/>
      <c r="K114" s="20"/>
      <c r="L114" s="11"/>
    </row>
    <row r="115" spans="1:12">
      <c r="A115" s="24"/>
      <c r="B115" s="22"/>
      <c r="C115" s="23"/>
      <c r="D115" s="22"/>
      <c r="E115" s="22"/>
      <c r="F115" s="22"/>
      <c r="G115" s="21"/>
      <c r="H115" s="21"/>
      <c r="I115" s="22"/>
      <c r="J115" s="21"/>
      <c r="K115" s="20"/>
      <c r="L115" s="11"/>
    </row>
    <row r="116" spans="1:12">
      <c r="A116" s="11"/>
      <c r="B116" s="18"/>
      <c r="C116" s="19"/>
      <c r="D116" s="18"/>
      <c r="E116" s="18"/>
      <c r="F116" s="18"/>
      <c r="G116" s="17"/>
      <c r="H116" s="17"/>
      <c r="I116" s="17"/>
      <c r="J116" s="17"/>
      <c r="K116" s="12"/>
      <c r="L116" s="11"/>
    </row>
    <row r="117" spans="1:12">
      <c r="A117" s="11"/>
      <c r="B117" s="10"/>
      <c r="C117" s="13"/>
      <c r="D117" s="10"/>
      <c r="E117" s="10"/>
      <c r="F117" s="10"/>
      <c r="G117" s="8"/>
      <c r="H117" s="8"/>
      <c r="I117" s="10"/>
      <c r="J117" s="8"/>
      <c r="K117" s="12"/>
      <c r="L117" s="11"/>
    </row>
    <row r="118" spans="1:12">
      <c r="A118" s="11"/>
      <c r="B118" s="10"/>
      <c r="C118" s="13"/>
      <c r="D118" s="10"/>
      <c r="E118" s="10"/>
      <c r="F118" s="10"/>
      <c r="G118" s="8"/>
      <c r="H118" s="8"/>
      <c r="I118" s="8"/>
      <c r="J118" s="8"/>
      <c r="K118" s="12"/>
      <c r="L118" s="11"/>
    </row>
    <row r="119" spans="1:12">
      <c r="A119" s="11"/>
      <c r="B119" s="10"/>
      <c r="C119" s="13"/>
      <c r="D119" s="10"/>
      <c r="E119" s="10"/>
      <c r="F119" s="10"/>
      <c r="G119" s="8"/>
      <c r="H119" s="8"/>
      <c r="I119" s="8"/>
      <c r="J119" s="8"/>
      <c r="K119" s="12"/>
      <c r="L119" s="11"/>
    </row>
    <row r="120" spans="1:12">
      <c r="A120" s="11"/>
      <c r="G120" s="8"/>
      <c r="H120" s="8"/>
      <c r="I120" s="8"/>
      <c r="J120" s="8"/>
      <c r="K120" s="12"/>
      <c r="L120" s="11"/>
    </row>
    <row r="121" spans="1:12">
      <c r="A121" s="11"/>
      <c r="B121" s="15"/>
      <c r="C121" s="16"/>
      <c r="D121" s="15"/>
      <c r="E121" s="12"/>
      <c r="F121" s="8"/>
      <c r="G121" s="8"/>
      <c r="H121" s="8"/>
      <c r="I121" s="8"/>
      <c r="J121" s="8"/>
      <c r="K121" s="12"/>
      <c r="L121" s="11"/>
    </row>
    <row r="122" spans="1:12">
      <c r="A122" s="11"/>
      <c r="B122" s="10"/>
      <c r="C122" s="13"/>
      <c r="D122" s="10"/>
      <c r="E122" s="10"/>
      <c r="F122" s="10"/>
      <c r="G122" s="8"/>
      <c r="H122" s="8"/>
      <c r="I122" s="8"/>
      <c r="J122" s="8"/>
      <c r="K122" s="12"/>
      <c r="L122" s="11"/>
    </row>
    <row r="123" spans="1:12">
      <c r="A123" s="11"/>
      <c r="B123" s="15"/>
      <c r="C123" s="16"/>
      <c r="D123" s="15"/>
      <c r="E123" s="12"/>
      <c r="F123" s="8"/>
      <c r="G123" s="8"/>
      <c r="H123" s="8"/>
      <c r="I123" s="8"/>
      <c r="J123" s="8"/>
      <c r="K123" s="12"/>
      <c r="L123" s="11"/>
    </row>
    <row r="124" spans="1:12">
      <c r="A124" s="11"/>
      <c r="B124" s="10"/>
      <c r="C124" s="13"/>
      <c r="D124" s="10"/>
      <c r="E124" s="10"/>
      <c r="F124" s="10"/>
      <c r="G124" s="8"/>
      <c r="H124" s="8"/>
      <c r="I124" s="8"/>
      <c r="J124" s="14"/>
      <c r="K124" s="12"/>
      <c r="L124" s="11"/>
    </row>
    <row r="125" spans="1:12">
      <c r="A125" s="11"/>
      <c r="B125" s="10"/>
      <c r="C125" s="13"/>
      <c r="D125" s="10"/>
      <c r="E125" s="10"/>
      <c r="F125" s="10"/>
      <c r="G125" s="8"/>
      <c r="H125" s="8"/>
      <c r="I125" s="8"/>
      <c r="J125" s="8"/>
      <c r="K125" s="12"/>
      <c r="L125" s="11"/>
    </row>
    <row r="126" spans="1:12">
      <c r="A126" s="11"/>
      <c r="B126" s="10"/>
      <c r="C126" s="13"/>
      <c r="D126" s="10"/>
      <c r="E126" s="10"/>
      <c r="F126" s="10"/>
      <c r="G126" s="8"/>
      <c r="H126" s="8"/>
      <c r="I126" s="8"/>
      <c r="J126" s="8"/>
      <c r="K126" s="12"/>
      <c r="L126" s="11"/>
    </row>
    <row r="127" spans="1:12">
      <c r="A127" s="11"/>
      <c r="B127" s="10"/>
      <c r="C127" s="13"/>
      <c r="D127" s="10"/>
      <c r="E127" s="10"/>
      <c r="F127" s="10"/>
      <c r="G127" s="8"/>
      <c r="H127" s="8"/>
      <c r="I127" s="8"/>
      <c r="J127" s="8"/>
      <c r="K127" s="12"/>
      <c r="L127" s="11"/>
    </row>
    <row r="128" spans="1:12">
      <c r="A128" s="11"/>
      <c r="B128" s="10"/>
      <c r="C128" s="13"/>
      <c r="D128" s="10"/>
      <c r="E128" s="10"/>
      <c r="F128" s="10"/>
      <c r="G128" s="8"/>
      <c r="H128" s="8"/>
      <c r="I128" s="8"/>
      <c r="J128" s="8"/>
      <c r="K128" s="12"/>
      <c r="L128" s="11"/>
    </row>
    <row r="129" spans="1:12">
      <c r="A129" s="11"/>
      <c r="B129" s="10"/>
      <c r="C129" s="13"/>
      <c r="D129" s="10"/>
      <c r="E129" s="10"/>
      <c r="F129" s="10"/>
      <c r="G129" s="8"/>
      <c r="H129" s="8"/>
      <c r="I129" s="8"/>
      <c r="J129" s="8"/>
      <c r="K129" s="12"/>
      <c r="L129" s="11"/>
    </row>
    <row r="130" spans="1:12">
      <c r="A130" s="11"/>
      <c r="B130" s="10"/>
      <c r="C130" s="13"/>
      <c r="D130" s="10"/>
      <c r="E130" s="10"/>
      <c r="F130" s="10"/>
      <c r="G130" s="8"/>
      <c r="H130" s="8"/>
      <c r="I130" s="10"/>
      <c r="J130" s="8"/>
      <c r="K130" s="12"/>
      <c r="L130" s="11"/>
    </row>
    <row r="131" spans="1:12">
      <c r="A131" s="11"/>
      <c r="B131" s="10"/>
      <c r="C131" s="16"/>
      <c r="D131" s="15"/>
      <c r="E131" s="12"/>
      <c r="F131" s="8"/>
      <c r="G131" s="8"/>
      <c r="H131" s="8"/>
      <c r="I131" s="8"/>
      <c r="J131" s="8"/>
      <c r="K131" s="12"/>
      <c r="L131" s="11"/>
    </row>
    <row r="132" spans="1:12">
      <c r="A132" s="11"/>
      <c r="B132" s="10"/>
      <c r="C132" s="13"/>
      <c r="D132" s="10"/>
      <c r="E132" s="10"/>
      <c r="F132" s="10"/>
      <c r="G132" s="8"/>
      <c r="H132" s="8"/>
      <c r="I132" s="8"/>
      <c r="J132" s="14"/>
      <c r="K132" s="12"/>
      <c r="L132" s="11"/>
    </row>
    <row r="133" spans="1:12">
      <c r="A133" s="11"/>
      <c r="B133" s="10"/>
      <c r="C133" s="13"/>
      <c r="D133" s="10"/>
      <c r="E133" s="10"/>
      <c r="F133" s="10"/>
      <c r="G133" s="8"/>
      <c r="H133" s="8"/>
      <c r="I133" s="8"/>
      <c r="J133" s="8"/>
      <c r="K133" s="12"/>
      <c r="L133" s="11"/>
    </row>
    <row r="134" spans="1:12">
      <c r="E134" s="10"/>
      <c r="F134" s="10"/>
      <c r="G134" s="8"/>
      <c r="H134" s="8"/>
      <c r="I134" s="8"/>
      <c r="J134" s="8"/>
      <c r="K134" s="7"/>
    </row>
    <row r="135" spans="1:12">
      <c r="E135" s="10"/>
      <c r="F135" s="10"/>
      <c r="G135" s="8"/>
      <c r="H135" s="8"/>
      <c r="I135" s="8"/>
      <c r="J135" s="8"/>
      <c r="K135" s="7"/>
    </row>
    <row r="136" spans="1:12">
      <c r="E136" s="10"/>
      <c r="F136" s="10"/>
      <c r="G136" s="8"/>
      <c r="H136" s="8"/>
      <c r="I136" s="8"/>
      <c r="J136" s="8"/>
      <c r="K136" s="7"/>
    </row>
    <row r="137" spans="1:12">
      <c r="A137" s="9"/>
      <c r="G137" s="8"/>
      <c r="H137" s="8"/>
      <c r="I137" s="8"/>
      <c r="J137" s="8"/>
      <c r="K137" s="7"/>
    </row>
    <row r="138" spans="1:12">
      <c r="K138" s="7"/>
    </row>
    <row r="139" spans="1:12">
      <c r="K139" s="7"/>
    </row>
    <row r="140" spans="1:12">
      <c r="K140" s="7"/>
    </row>
    <row r="141" spans="1:12">
      <c r="K141" s="7"/>
    </row>
    <row r="142" spans="1:12">
      <c r="K142" s="7"/>
    </row>
    <row r="143" spans="1:12">
      <c r="K143" s="7"/>
    </row>
    <row r="144" spans="1:12">
      <c r="K144" s="7"/>
    </row>
    <row r="145" spans="11:11">
      <c r="K145" s="7"/>
    </row>
    <row r="146" spans="11:11">
      <c r="K146" s="7"/>
    </row>
    <row r="147" spans="11:11">
      <c r="K147" s="7"/>
    </row>
    <row r="148" spans="11:11">
      <c r="K148" s="7"/>
    </row>
    <row r="149" spans="11:11">
      <c r="K149" s="7"/>
    </row>
    <row r="150" spans="11:11">
      <c r="K150" s="7"/>
    </row>
    <row r="151" spans="11:11">
      <c r="K151" s="7"/>
    </row>
    <row r="152" spans="11:11">
      <c r="K152" s="7"/>
    </row>
    <row r="153" spans="11:11">
      <c r="K153" s="7"/>
    </row>
    <row r="154" spans="11:11">
      <c r="K154" s="7"/>
    </row>
    <row r="155" spans="11:11">
      <c r="K155" s="7"/>
    </row>
    <row r="156" spans="11:11">
      <c r="K156" s="7"/>
    </row>
    <row r="157" spans="11:11">
      <c r="K157" s="7"/>
    </row>
    <row r="158" spans="11:11">
      <c r="K158" s="7"/>
    </row>
    <row r="159" spans="11:11">
      <c r="K159" s="7"/>
    </row>
    <row r="160" spans="11:11">
      <c r="K160" s="7"/>
    </row>
    <row r="161" spans="11:11">
      <c r="K161" s="7"/>
    </row>
    <row r="162" spans="11:11">
      <c r="K162" s="7"/>
    </row>
    <row r="163" spans="11:11">
      <c r="K163" s="7"/>
    </row>
    <row r="164" spans="11:11">
      <c r="K164" s="7"/>
    </row>
    <row r="165" spans="11:11">
      <c r="K165" s="7"/>
    </row>
    <row r="166" spans="11:11">
      <c r="K166" s="7"/>
    </row>
    <row r="167" spans="11:11">
      <c r="K167" s="7"/>
    </row>
    <row r="168" spans="11:11">
      <c r="K168" s="7"/>
    </row>
    <row r="169" spans="11:11">
      <c r="K169" s="7"/>
    </row>
    <row r="170" spans="11:11">
      <c r="K170" s="7"/>
    </row>
    <row r="171" spans="11:11">
      <c r="K171" s="7"/>
    </row>
    <row r="172" spans="11:11">
      <c r="K172" s="7"/>
    </row>
    <row r="173" spans="11:11">
      <c r="K173" s="7"/>
    </row>
    <row r="174" spans="11:11">
      <c r="K174" s="7"/>
    </row>
    <row r="175" spans="11:11">
      <c r="K175" s="7"/>
    </row>
    <row r="176" spans="11:11">
      <c r="K176" s="7"/>
    </row>
    <row r="177" spans="11:11">
      <c r="K177" s="7"/>
    </row>
    <row r="178" spans="11:11">
      <c r="K178" s="7"/>
    </row>
    <row r="179" spans="11:11">
      <c r="K179" s="7"/>
    </row>
    <row r="180" spans="11:11">
      <c r="K180" s="7"/>
    </row>
    <row r="181" spans="11:11">
      <c r="K181" s="7"/>
    </row>
    <row r="182" spans="11:11">
      <c r="K182" s="7"/>
    </row>
    <row r="183" spans="11:11">
      <c r="K183" s="7"/>
    </row>
    <row r="184" spans="11:11">
      <c r="K184" s="7"/>
    </row>
    <row r="185" spans="11:11">
      <c r="K185" s="7"/>
    </row>
    <row r="186" spans="11:11">
      <c r="K186" s="7"/>
    </row>
    <row r="187" spans="11:11">
      <c r="K187" s="7"/>
    </row>
    <row r="188" spans="11:11">
      <c r="K188" s="7"/>
    </row>
    <row r="189" spans="11:11">
      <c r="K189" s="7"/>
    </row>
    <row r="190" spans="11:11">
      <c r="K190" s="7"/>
    </row>
    <row r="191" spans="11:11">
      <c r="K191" s="7"/>
    </row>
    <row r="192" spans="11:11">
      <c r="K192" s="7"/>
    </row>
    <row r="193" spans="11:11">
      <c r="K193" s="7"/>
    </row>
    <row r="194" spans="11:11">
      <c r="K194" s="7"/>
    </row>
    <row r="195" spans="11:11">
      <c r="K195" s="7"/>
    </row>
    <row r="196" spans="11:11">
      <c r="K196" s="7"/>
    </row>
    <row r="197" spans="11:11">
      <c r="K197" s="7"/>
    </row>
    <row r="198" spans="11:11">
      <c r="K198" s="7"/>
    </row>
    <row r="199" spans="11:11">
      <c r="K199" s="7"/>
    </row>
    <row r="200" spans="11:11">
      <c r="K200" s="7"/>
    </row>
    <row r="201" spans="11:11">
      <c r="K201" s="7"/>
    </row>
    <row r="202" spans="11:11">
      <c r="K202" s="7"/>
    </row>
    <row r="203" spans="11:11">
      <c r="K203" s="7"/>
    </row>
    <row r="204" spans="11:11">
      <c r="K204" s="7"/>
    </row>
    <row r="205" spans="11:11">
      <c r="K205" s="7"/>
    </row>
    <row r="206" spans="11:11">
      <c r="K206" s="7"/>
    </row>
    <row r="207" spans="11:11">
      <c r="K207" s="7"/>
    </row>
    <row r="208" spans="11:11">
      <c r="K208" s="7"/>
    </row>
    <row r="209" spans="11:11">
      <c r="K209" s="7"/>
    </row>
    <row r="210" spans="11:11">
      <c r="K210" s="7"/>
    </row>
    <row r="211" spans="11:11">
      <c r="K211" s="7"/>
    </row>
    <row r="212" spans="11:11">
      <c r="K212" s="7"/>
    </row>
    <row r="213" spans="11:11">
      <c r="K213" s="7"/>
    </row>
    <row r="214" spans="11:11">
      <c r="K214" s="7"/>
    </row>
    <row r="215" spans="11:11">
      <c r="K215" s="7"/>
    </row>
    <row r="216" spans="11:11">
      <c r="K216" s="7"/>
    </row>
    <row r="217" spans="11:11">
      <c r="K217" s="7"/>
    </row>
    <row r="218" spans="11:11">
      <c r="K218" s="7"/>
    </row>
    <row r="219" spans="11:11">
      <c r="K219" s="7"/>
    </row>
    <row r="220" spans="11:11">
      <c r="K220" s="7"/>
    </row>
    <row r="221" spans="11:11">
      <c r="K221" s="7"/>
    </row>
    <row r="222" spans="11:11">
      <c r="K222" s="7"/>
    </row>
    <row r="223" spans="11:11">
      <c r="K223" s="7"/>
    </row>
    <row r="224" spans="11:11">
      <c r="K224" s="7"/>
    </row>
    <row r="225" spans="11:11">
      <c r="K225" s="7"/>
    </row>
    <row r="226" spans="11:11">
      <c r="K226" s="7"/>
    </row>
    <row r="227" spans="11:11">
      <c r="K227" s="7"/>
    </row>
    <row r="228" spans="11:11">
      <c r="K228" s="7"/>
    </row>
    <row r="229" spans="11:11">
      <c r="K229" s="7"/>
    </row>
    <row r="230" spans="11:11">
      <c r="K230" s="7"/>
    </row>
    <row r="231" spans="11:11">
      <c r="K231" s="7"/>
    </row>
    <row r="232" spans="11:11">
      <c r="K232" s="7"/>
    </row>
    <row r="233" spans="11:11">
      <c r="K233" s="7"/>
    </row>
    <row r="234" spans="11:11">
      <c r="K234" s="7"/>
    </row>
    <row r="235" spans="11:11">
      <c r="K235" s="7"/>
    </row>
    <row r="236" spans="11:11">
      <c r="K236" s="7"/>
    </row>
    <row r="237" spans="11:11">
      <c r="K237" s="7"/>
    </row>
    <row r="238" spans="11:11">
      <c r="K238" s="7"/>
    </row>
    <row r="239" spans="11:11">
      <c r="K239" s="7"/>
    </row>
    <row r="240" spans="11:11">
      <c r="K240" s="7"/>
    </row>
    <row r="241" spans="11:11">
      <c r="K241" s="7"/>
    </row>
    <row r="242" spans="11:11">
      <c r="K242" s="7"/>
    </row>
    <row r="243" spans="11:11">
      <c r="K243" s="7"/>
    </row>
    <row r="244" spans="11:11">
      <c r="K244" s="7"/>
    </row>
    <row r="245" spans="11:11">
      <c r="K245" s="7"/>
    </row>
    <row r="246" spans="11:11">
      <c r="K246" s="7"/>
    </row>
    <row r="247" spans="11:11">
      <c r="K247" s="7"/>
    </row>
    <row r="248" spans="11:11">
      <c r="K248" s="7"/>
    </row>
    <row r="249" spans="11:11">
      <c r="K249" s="7"/>
    </row>
    <row r="250" spans="11:11">
      <c r="K250" s="7"/>
    </row>
    <row r="251" spans="11:11">
      <c r="K251" s="7"/>
    </row>
    <row r="252" spans="11:11">
      <c r="K252" s="7"/>
    </row>
    <row r="253" spans="11:11">
      <c r="K253" s="7"/>
    </row>
    <row r="254" spans="11:11">
      <c r="K254" s="7"/>
    </row>
    <row r="255" spans="11:11">
      <c r="K255" s="7"/>
    </row>
    <row r="256" spans="11:11">
      <c r="K256" s="7"/>
    </row>
    <row r="257" spans="11:11">
      <c r="K257" s="7"/>
    </row>
    <row r="258" spans="11:11">
      <c r="K258" s="7"/>
    </row>
    <row r="259" spans="11:11">
      <c r="K259" s="7"/>
    </row>
    <row r="260" spans="11:11">
      <c r="K260" s="7"/>
    </row>
    <row r="261" spans="11:11">
      <c r="K261" s="7"/>
    </row>
    <row r="262" spans="11:11">
      <c r="K262" s="7"/>
    </row>
    <row r="263" spans="11:11">
      <c r="K263" s="7"/>
    </row>
    <row r="264" spans="11:11">
      <c r="K264" s="7"/>
    </row>
    <row r="265" spans="11:11">
      <c r="K265" s="7"/>
    </row>
    <row r="266" spans="11:11">
      <c r="K266" s="7"/>
    </row>
    <row r="267" spans="11:11">
      <c r="K267" s="7"/>
    </row>
    <row r="268" spans="11:11">
      <c r="K268" s="7"/>
    </row>
  </sheetData>
  <mergeCells count="11">
    <mergeCell ref="A4:B4"/>
    <mergeCell ref="D4:E4"/>
    <mergeCell ref="I4:K4"/>
    <mergeCell ref="A5:E5"/>
    <mergeCell ref="I5:K5"/>
    <mergeCell ref="A66:A68"/>
    <mergeCell ref="A69:A71"/>
    <mergeCell ref="A72:A76"/>
    <mergeCell ref="J33:J35"/>
    <mergeCell ref="A7:A24"/>
    <mergeCell ref="A59:A65"/>
  </mergeCells>
  <phoneticPr fontId="2" type="noConversion"/>
  <conditionalFormatting sqref="F1:H2 J1:J2">
    <cfRule type="cellIs" dxfId="8" priority="6" stopIfTrue="1" operator="equal">
      <formula>"自动"</formula>
      <formula>"自动"</formula>
    </cfRule>
  </conditionalFormatting>
  <conditionalFormatting sqref="K6:K82">
    <cfRule type="cellIs" dxfId="7" priority="4" stopIfTrue="1" operator="equal">
      <formula>"Fail"</formula>
      <formula>"Fail"</formula>
    </cfRule>
  </conditionalFormatting>
  <conditionalFormatting sqref="K6:K268">
    <cfRule type="cellIs" dxfId="6" priority="1" stopIfTrue="1" operator="equal">
      <formula>"自动"</formula>
      <formula>"自动"</formula>
    </cfRule>
    <cfRule type="cellIs" dxfId="5" priority="5" stopIfTrue="1" operator="equal">
      <formula>"Pass"</formula>
      <formula>"Pass"</formula>
    </cfRule>
  </conditionalFormatting>
  <conditionalFormatting sqref="K7:K82">
    <cfRule type="cellIs" dxfId="4" priority="2" stopIfTrue="1" operator="equal">
      <formula>"Pass"</formula>
      <formula>"Pass"</formula>
    </cfRule>
    <cfRule type="cellIs" dxfId="3" priority="3" stopIfTrue="1" operator="equal">
      <formula>"Pass"</formula>
      <formula>"Pass"</formula>
    </cfRule>
  </conditionalFormatting>
  <conditionalFormatting sqref="K83:K268">
    <cfRule type="cellIs" dxfId="2" priority="7" stopIfTrue="1" operator="equal">
      <formula>"Pass"</formula>
      <formula>"Pass"</formula>
    </cfRule>
    <cfRule type="cellIs" dxfId="1" priority="8" stopIfTrue="1" operator="equal">
      <formula>"Fail"</formula>
      <formula>"Fail"</formula>
    </cfRule>
    <cfRule type="cellIs" dxfId="0" priority="9" stopIfTrue="1" operator="equal">
      <formula>"Pass"</formula>
      <formula>"Pass"</formula>
    </cfRule>
  </conditionalFormatting>
  <dataValidations count="2">
    <dataValidation type="list" allowBlank="1" showInputMessage="1" showErrorMessage="1" sqref="K7:K65 K67:K268" xr:uid="{00000000-0002-0000-0100-00000C000000}">
      <formula1>"Pass,Fail,Undef"</formula1>
    </dataValidation>
    <dataValidation type="list" allowBlank="1" showInputMessage="1" showErrorMessage="1" sqref="E7 E131 E123 E121 E82 E79 E59:E60 E54 E49 E46 E40 E13:E18" xr:uid="{00000000-0002-0000-0100-000000000000}">
      <formula1>"1-High,2-Normal,3-Low"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62C8-624A-4353-9E2C-F8553013BA85}">
  <dimension ref="A1"/>
  <sheetViews>
    <sheetView workbookViewId="0"/>
  </sheetViews>
  <sheetFormatPr defaultRowHeight="1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充放电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2026-06-11T05:18:30Z</dcterms:created>
  <dcterms:modified xsi:type="dcterms:W3CDTF">2026-06-11T05:19:03Z</dcterms:modified>
</cp:coreProperties>
</file>