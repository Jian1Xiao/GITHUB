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\Desktop\"/>
    </mc:Choice>
  </mc:AlternateContent>
  <xr:revisionPtr revIDLastSave="0" documentId="13_ncr:1_{35BDAD2C-FD00-4253-B689-F68FD899F05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修改记录" sheetId="1" r:id="rId1"/>
    <sheet name="充放电" sheetId="2" r:id="rId2"/>
    <sheet name="显示器" sheetId="3" r:id="rId3"/>
    <sheet name="DCAC" sheetId="4" r:id="rId4"/>
    <sheet name="整车控制" sheetId="5" r:id="rId5"/>
    <sheet name="热管理" sheetId="6" r:id="rId6"/>
    <sheet name="模式切换" sheetId="7" r:id="rId7"/>
    <sheet name="交流输出负载测试" sheetId="8" r:id="rId8"/>
  </sheets>
  <definedNames>
    <definedName name="_xlnm.Print_Area" localSheetId="3">DCAC!$A$1:$L$32</definedName>
    <definedName name="_xlnm.Print_Area" localSheetId="2">显示器!$A$1:$L$28</definedName>
    <definedName name="_xlnm.Print_Area" localSheetId="4">整车控制!$A$1:$K$12</definedName>
  </definedNames>
  <calcPr calcId="191029"/>
</workbook>
</file>

<file path=xl/calcChain.xml><?xml version="1.0" encoding="utf-8"?>
<calcChain xmlns="http://schemas.openxmlformats.org/spreadsheetml/2006/main">
  <c r="D2" i="8" l="1"/>
  <c r="C2" i="8"/>
  <c r="B2" i="8"/>
  <c r="A2" i="8"/>
  <c r="D2" i="7"/>
  <c r="C2" i="7"/>
  <c r="B2" i="7"/>
  <c r="A2" i="7"/>
  <c r="D2" i="6"/>
  <c r="C2" i="6"/>
  <c r="B2" i="6"/>
  <c r="E2" i="6" s="1"/>
  <c r="A2" i="6"/>
  <c r="D2" i="5"/>
  <c r="C2" i="5"/>
  <c r="B2" i="5"/>
  <c r="A2" i="5"/>
  <c r="D2" i="4"/>
  <c r="C2" i="4"/>
  <c r="B2" i="4"/>
  <c r="A2" i="4"/>
  <c r="D2" i="3"/>
  <c r="C2" i="3"/>
  <c r="B2" i="3"/>
  <c r="E2" i="3" s="1"/>
  <c r="A2" i="3"/>
  <c r="E2" i="2"/>
  <c r="D2" i="2"/>
  <c r="C2" i="2"/>
  <c r="B2" i="2"/>
  <c r="A2" i="2"/>
</calcChain>
</file>

<file path=xl/sharedStrings.xml><?xml version="1.0" encoding="utf-8"?>
<sst xmlns="http://schemas.openxmlformats.org/spreadsheetml/2006/main" count="1003" uniqueCount="674">
  <si>
    <t>用例总数</t>
  </si>
  <si>
    <t>Pass用例数</t>
  </si>
  <si>
    <t>Fail用例数</t>
  </si>
  <si>
    <t>Undef用例数</t>
  </si>
  <si>
    <t>测试通过率</t>
  </si>
  <si>
    <t>项目名称：</t>
  </si>
  <si>
    <t>储能桩</t>
  </si>
  <si>
    <t>测试环境：</t>
  </si>
  <si>
    <t>测试主题</t>
  </si>
  <si>
    <t>用例编号</t>
  </si>
  <si>
    <t>用例名称</t>
  </si>
  <si>
    <t>详细描述</t>
  </si>
  <si>
    <t>测试级别</t>
  </si>
  <si>
    <t>预置条件</t>
  </si>
  <si>
    <t>测试次数</t>
  </si>
  <si>
    <t>测试数据</t>
  </si>
  <si>
    <t>备注</t>
  </si>
  <si>
    <t>显示屏功能测试</t>
  </si>
  <si>
    <t>Display-001</t>
  </si>
  <si>
    <t>待机信息显示</t>
  </si>
  <si>
    <t>桩上电后观察显示屏界面的显示信息，显示正常</t>
  </si>
  <si>
    <t>1-High</t>
  </si>
  <si>
    <t>桩 ON 挡电</t>
  </si>
  <si>
    <t>1. 桩处于上电状态</t>
  </si>
  <si>
    <t>1. 显示储能桩的 VCU 发出的 VIN、BMS 发出的充电车 SOC；显示屏显示充电二维码；显示屏显示年月日和星期2. 显示交流放电和补电开关</t>
  </si>
  <si>
    <t>Display-002</t>
  </si>
  <si>
    <t>界面跳转</t>
  </si>
  <si>
    <t>界面跳转逻辑</t>
  </si>
  <si>
    <t>桩处于 ON 挡</t>
  </si>
  <si>
    <t>1. 将充电枪插入目标车辆
2. 桩开始放电
3. 结束放电，未拔枪
4. 充电枪即不再挂枪位也不在充电位
5. 充电枪归位</t>
  </si>
  <si>
    <t>1. 充电枪连接成功，显示屏显示充电二维码，并提示用户扫码启动充电
2. 开始放电，显示屏页面跳转至充电中界面，显示充电电量，SOC，充电功率，电流，电压信息
3. 显示 TCU 发出的充电功率、充电电压、充电电流、被充车辆 SOC、剩余充电时间、已充时间
4. 显示屏提示用户充电结束，将充电枪插回挂枪插座
5. 显示充电时长、电量、结束 SOC，10s 后回到待机界面</t>
  </si>
  <si>
    <t>Display-003</t>
  </si>
  <si>
    <t>补能界面显示</t>
  </si>
  <si>
    <t>补能中界面显示</t>
  </si>
  <si>
    <t>1. 给桩补能中</t>
  </si>
  <si>
    <t>交流补电：1. 显示屏显示三相电压、充电电流、工作模式、单相电压、放电电流、设备状态、直流电压、放电功率和停止按钮
直流补电：1. 显示屏显示 BMS 发送的剩余充电时间、电池电压、充电电流、剩余电量、已充时长</t>
  </si>
  <si>
    <t>Display-005</t>
  </si>
  <si>
    <t>控制操作界面-故障码</t>
  </si>
  <si>
    <t>进入调试界面，可查看故障码 / 设备信息 / 参数配置</t>
  </si>
  <si>
    <t>储能桩处于 ON 挡，发生故障时，显示屏页面显示红色提示词</t>
  </si>
  <si>
    <t>1. 点击屏幕左上角，输入密码 1024 进入调试界面
2. 进入后点击打开告警显示，进入日志读取</t>
  </si>
  <si>
    <t>1. 当前设备故障，请联系运维人员处理，或选择其他设备进行服务
2. 显示故障码信息和故障详情</t>
  </si>
  <si>
    <t>Display-005-1</t>
  </si>
  <si>
    <t>控制操作界面-软硬件版本</t>
  </si>
  <si>
    <t>查看各控制器软硬件版本</t>
  </si>
  <si>
    <t>储能桩处于 ON 挡</t>
  </si>
  <si>
    <t>1. 点击屏幕左上角，输入密码 1024 进入调试界面
2. 选择设备信息查看</t>
  </si>
  <si>
    <t>在屏幕查看：
1.BMS 软件版本、硬件版本号
2.TCU 软件版本号、硬件版本号
3.VCU 软件版本、硬件版本</t>
  </si>
  <si>
    <t>Display-005-2</t>
  </si>
  <si>
    <t>控制操作界面 - 参数配置</t>
  </si>
  <si>
    <t>参数配置功能校验</t>
  </si>
  <si>
    <t>1. 点击屏幕左上角，输入密码 1024 进入调试界面
2. 选择参数配置</t>
  </si>
  <si>
    <t>系统语言切换、放电启动方式、时间校准、充电桩编号绑定、充电桩二维码绑定功能均正常</t>
  </si>
  <si>
    <t>Display-006</t>
  </si>
  <si>
    <t>交流放电模式切换</t>
  </si>
  <si>
    <t>交流放电中界面信息显示</t>
  </si>
  <si>
    <t>桩 ON 挡，进入交流放电模式</t>
  </si>
  <si>
    <t>1. 启动交流放电
2. 查看界面显示</t>
  </si>
  <si>
    <t>1. 显示三相电压、单相电压、直流电压
2. 显示放电电流、放电功率、充电电流 = 0
3. 工作模式 = 放电模式，设备状态 = 放电中
4. 显示停止按钮</t>
  </si>
  <si>
    <t>Display-007</t>
  </si>
  <si>
    <t>直流放电模式切换</t>
  </si>
  <si>
    <t>直流放电运行中界面显示</t>
  </si>
  <si>
    <t>桩 ON 挡，进入直流放电</t>
  </si>
  <si>
    <t>1. 进入直流放电模式
2. 查看界面</t>
  </si>
  <si>
    <t>1. 显示直流电压、放电电流、放电功率
2. 工作模式 = 放电模式
3. 设备状态 = 放电中
4. 显示停止按钮</t>
  </si>
  <si>
    <t>交流补电模式切换</t>
  </si>
  <si>
    <t>交流补电中界面信息显示</t>
  </si>
  <si>
    <t>1. 启动交流补电
2. 查看界面显示</t>
  </si>
  <si>
    <t>1.显示三相电压、充电电流、工作模式、单项电压、设备状态等系统当前运行参数
2、补电结束后，自动跳转回待机界面</t>
  </si>
  <si>
    <t>直流补电模式切换</t>
  </si>
  <si>
    <t>直流补电运行中界面显示</t>
  </si>
  <si>
    <t>1. 进入直流补电模式
2. 查看界面</t>
  </si>
  <si>
    <t>1.显示电池电压、已充电量、充电电流、剩余电量、充电时常和剩余时间。
2、补电结束后，自动跳转回待机界面</t>
  </si>
  <si>
    <t>Display-008</t>
  </si>
  <si>
    <t>交流模式启动确认弹窗</t>
  </si>
  <si>
    <t>点击交流补电 / 放电时弹窗校验</t>
  </si>
  <si>
    <t>桩 ON 挡，待机</t>
  </si>
  <si>
    <t>1. 点击交流补电
2. 点击交流放电</t>
  </si>
  <si>
    <t>1. 点击交流补电：弹出 “是否启动交流补电模式？YES/NO”
2. 点击交流放电：弹出 “是否启动交流放电模式？YES/NO”</t>
  </si>
  <si>
    <t>Display-009</t>
  </si>
  <si>
    <t>直流 / 交流模式切换提示</t>
  </si>
  <si>
    <t>切换工作模式时提示文字显示</t>
  </si>
  <si>
    <t>桩 ON 挡，进行模式切换</t>
  </si>
  <si>
    <t>1. 交流切直流
2. 直流切交流</t>
  </si>
  <si>
    <t>1. 弹出 “是否退出交流模式？YES/NO”
2. 切换时显示 “正在切换到直流工作模式…”</t>
  </si>
  <si>
    <t>Display-010</t>
  </si>
  <si>
    <t>直流补电自动提示弹窗</t>
  </si>
  <si>
    <t>插枪自动进入直流补电提示</t>
  </si>
  <si>
    <t>桩 ON 挡，插直流枪</t>
  </si>
  <si>
    <t>1. 插入直流充电枪</t>
  </si>
  <si>
    <t>屏幕弹出：充电插座已连接，正在切换到直流补电模式</t>
  </si>
  <si>
    <t>Display-011</t>
  </si>
  <si>
    <t>直流补电互锁提示</t>
  </si>
  <si>
    <t>补电中禁止切换模式提示</t>
  </si>
  <si>
    <t>处于直流补电中</t>
  </si>
  <si>
    <t>1. 尝试切换其他模式</t>
  </si>
  <si>
    <t>弹出：正在直流补电，如果要使用其他功能，请先停止补电</t>
  </si>
  <si>
    <t>Display-012</t>
  </si>
  <si>
    <t>充电枪未挂起提示</t>
  </si>
  <si>
    <t>枪不在插座也不在车端提示</t>
  </si>
  <si>
    <t>桩 ON 挡，枪被取下乱放</t>
  </si>
  <si>
    <t>1. 将枪取下，不插车不挂座</t>
  </si>
  <si>
    <t>弹出：充电枪已取下，请插枪使用或挂回充电插座</t>
  </si>
  <si>
    <t>Display-013</t>
  </si>
  <si>
    <t>低压电池告警弹窗</t>
  </si>
  <si>
    <t>低压告警界面显示</t>
  </si>
  <si>
    <t>系统检测低压</t>
  </si>
  <si>
    <t>1. 触发低压信号</t>
  </si>
  <si>
    <t>弹出：低压电池，电量不足！点击 OK 可关闭</t>
  </si>
  <si>
    <t>Display-014</t>
  </si>
  <si>
    <t>设备故障页面显示</t>
  </si>
  <si>
    <t>故障状态下整机故障页面</t>
  </si>
  <si>
    <t>设备发生严重故障</t>
  </si>
  <si>
    <t>1. 触发 DCAC / 系统故障</t>
  </si>
  <si>
    <t>屏幕跳转到：当前设备故障，请联系运维人员处理</t>
  </si>
  <si>
    <t>Display-015</t>
  </si>
  <si>
    <t>出厂设置界面测试</t>
  </si>
  <si>
    <t>调试菜单 — 出厂设置页面</t>
  </si>
  <si>
    <t>进入调试界面</t>
  </si>
  <si>
    <t>1. 输入密码 1024
2. 进入出厂设置</t>
  </si>
  <si>
    <t>显示：平台选择、蓄电池低压报警阈值、屏幕波特率、VIN 填充、主页选择、VIN 绑定，功能正常</t>
  </si>
  <si>
    <t>Display-016</t>
  </si>
  <si>
    <t>首页模式状态同步</t>
  </si>
  <si>
    <t>交流放电 / 补电开关状态实时刷新</t>
  </si>
  <si>
    <t>启动 / 停止交流模式</t>
  </si>
  <si>
    <t>1. 启动交流补电
2. 停止交流补电
3. 启动交流放电
4. 停止交流放电</t>
  </si>
  <si>
    <t>1. 启动后首页显示：交流补电开 / 交流放电开
2. 停止后显示：交流补电关 / 交流放电关</t>
  </si>
  <si>
    <t>Display-017</t>
  </si>
  <si>
    <t>直流充电结束界面</t>
  </si>
  <si>
    <t>充电结束页完整信息</t>
  </si>
  <si>
    <t>直流充电结束</t>
  </si>
  <si>
    <t>1. 停止直流充电</t>
  </si>
  <si>
    <t>显示：枪编号、充电电量、终止 SOC、充电时长、停止原因、绝缘电压</t>
  </si>
  <si>
    <t>Display-018</t>
  </si>
  <si>
    <t>调试控制页面</t>
  </si>
  <si>
    <t>密码登录 + 参数配置</t>
  </si>
  <si>
    <t>设备上电，待机</t>
  </si>
  <si>
    <t>1. 屏显右上角→输 1024→进调试页→改参数 / 查故障 / 查版本</t>
  </si>
  <si>
    <t xml:space="preserve">1. 登录：密码对→进调试页；错→“密码错误”
</t>
  </si>
  <si>
    <t>2. 参数：改放电模式→报文同步更新；查故障→显完整列表；查版本→显 BMS/TCU/VCU 版本</t>
  </si>
  <si>
    <t>系统模式显示</t>
  </si>
  <si>
    <t>Display-019</t>
  </si>
  <si>
    <t>模式显示一致性</t>
  </si>
  <si>
    <t>屏显模式与 TCU 指令匹配</t>
  </si>
  <si>
    <t>1. 屏显切四种模式→CANoe 看 715xh</t>
  </si>
  <si>
    <t>1. 直流补电：屏显 “直流补电”，报文 715xh=0</t>
  </si>
  <si>
    <t>2. 直流放电：屏显 “直流放电”，报文 715xh=1</t>
  </si>
  <si>
    <t>3. 交流补电：屏显 “交流补电”，报文 715xh=2</t>
  </si>
  <si>
    <t>4. 交流放电：屏显 “交流放电”，报文 715xh=3（延迟＜1s）</t>
  </si>
  <si>
    <t>模式切换</t>
  </si>
  <si>
    <t>先进行交流补电后进行交流放电</t>
  </si>
  <si>
    <t>储能桩上电，</t>
  </si>
  <si>
    <t>给储能桩进行交流补电补电完成后，进行交流放电</t>
  </si>
  <si>
    <t>能够正常切换</t>
  </si>
  <si>
    <t>先进行交流放电后进行交流补电</t>
  </si>
  <si>
    <t>给储能桩交流放电放电完成后，进行交流补电</t>
  </si>
  <si>
    <t>先进行交流补电后进行直流放电</t>
  </si>
  <si>
    <t>给储能桩交流补电放电完成后，进行直流放电</t>
  </si>
  <si>
    <t>先进行交流补电后进行直流补电</t>
  </si>
  <si>
    <t>给储能桩交流补电放电完成后，进行直流补电</t>
  </si>
  <si>
    <t>先进行直流补电后进行交流补电</t>
  </si>
  <si>
    <t>给储能桩直流补电放电完成后，进行交流补电</t>
  </si>
  <si>
    <t>先进行交流放电后进行直流放</t>
  </si>
  <si>
    <t>给储能桩交流放电放电完成后，进行直流放电</t>
  </si>
  <si>
    <t>先进行直流放电后进行交流放</t>
  </si>
  <si>
    <t>给储能桩直流放电放电完成后，进行交流放电</t>
  </si>
  <si>
    <t>先进行交流放电后进行直流补</t>
  </si>
  <si>
    <t>给储能桩交流放电完成后，进行直流补</t>
  </si>
  <si>
    <t>先进行直流补电后进行交流放电</t>
  </si>
  <si>
    <t>给储能桩直流补电完成后，进行交流放电</t>
  </si>
  <si>
    <t>先进行直流放电后进行直流补</t>
  </si>
  <si>
    <t>给储能桩直流放电放电完成后，进行直流补</t>
  </si>
  <si>
    <t>先进行直流补电后进行直流放电</t>
  </si>
  <si>
    <t>给储能桩直流补电放电完成后，进行直流放电</t>
  </si>
  <si>
    <t>强切模式</t>
  </si>
  <si>
    <t>先进行直流放电后进行直流补电</t>
  </si>
  <si>
    <t>当前模式为直流补电模式</t>
  </si>
  <si>
    <t>先进行j交流放电后进行直流补电</t>
  </si>
  <si>
    <t>先进行交流放电后进行直流补电</t>
  </si>
  <si>
    <t>先进行j交流补电后进行直流补电</t>
  </si>
  <si>
    <t>预期结果</t>
  </si>
  <si>
    <t>BMS_001</t>
  </si>
  <si>
    <t>放电加热（电加热电池包）</t>
  </si>
  <si>
    <t>BMS检测电池温度达到加热开启条件时，开始加热</t>
  </si>
  <si>
    <t>BMS ON档唤醒状态下</t>
  </si>
  <si>
    <t>电池温度Tmin小于15°</t>
  </si>
  <si>
    <t>BMS控制加热回路导通，发送加热继电器状态及电池包加热状态给VCU，18FF06F3加热继电器闭合</t>
  </si>
  <si>
    <t>标红部分是室温条件下实现不了，需要协调实验室资源</t>
  </si>
  <si>
    <t>BMS_002</t>
  </si>
  <si>
    <t>放电加热（液热电池包）</t>
  </si>
  <si>
    <t>电池温度Tmin小于15°，BMS发送制热模式、上高压请求给TMS</t>
  </si>
  <si>
    <t>1、BMS闭合加热继电器并发继电器状态给TMS、VCU，18FF06F3加热继电器闭合</t>
  </si>
  <si>
    <t>2、TMS反馈制热模式、高压继电器闭合状态、出水温度回水温度给BMS，18FFC13A回水温度</t>
  </si>
  <si>
    <t>3、BMS发送进水口温度需求给TMS，18FFC13A进水温度</t>
  </si>
  <si>
    <t>4、TMS发送加热功率需求给BMS；</t>
  </si>
  <si>
    <t>5、BMS发送加热继电器状态及电池包加热中状态给VCU。</t>
  </si>
  <si>
    <t>电池温度Tmin≥15°</t>
  </si>
  <si>
    <t>BMS发送加热继电器状态及电池包未加热状态给VCU。</t>
  </si>
  <si>
    <t>BMS_003</t>
  </si>
  <si>
    <t>电池包加热功率控制</t>
  </si>
  <si>
    <t>电加热电池包加热功率控制</t>
  </si>
  <si>
    <t>充电加热BMS向充电桩请求固定的充电电压和充电电流限制加热功率。</t>
  </si>
  <si>
    <t>放电加热无加热功率控制，BMS监测加热回路加热电流。</t>
  </si>
  <si>
    <t>液热电池包加热功率控制</t>
  </si>
  <si>
    <t>充放电过程中制冷模式下</t>
  </si>
  <si>
    <t>BMS发送进水口温度需求给TMS</t>
  </si>
  <si>
    <t>TMS监测出水口和回水口温度，TMS自行调节加热功率需求</t>
  </si>
  <si>
    <t>BMS_004</t>
  </si>
  <si>
    <t>电池包加热故障处理</t>
  </si>
  <si>
    <t>充电加热、放电加热过程中</t>
  </si>
  <si>
    <t>充电加热、放电加热过程中分别制造电池包加热一二三级故障</t>
  </si>
  <si>
    <t>1、一级故障BMS发送故障码、故障等级给VCU；</t>
  </si>
  <si>
    <t>2、二级故障BMS发送故障码、故障等级给VCU，限功率50%；</t>
  </si>
  <si>
    <t>3、三级故障BMS发送故障码、故障等级给VCU并限功率为0；收到VCU下高压指令，下高压、停止加热；并发送下高压状态和电池包未加热状态给VCU；</t>
  </si>
  <si>
    <t>BMS_005</t>
  </si>
  <si>
    <t>放电冷却（风冷）_直流充电冷却</t>
  </si>
  <si>
    <t>BMS检测电池温度达到开启条件时，开始制冷</t>
  </si>
  <si>
    <t>最高电池温度Tmax≥35℃且平均温度Tmean≥32℃，BMS闭合风扇继电器开始冷却</t>
  </si>
  <si>
    <t>发送风扇继电器状态及电池包冷却状态给VCU</t>
  </si>
  <si>
    <t>最高电池温度Tmax＜35℃且平均温度Tmean＜32℃，BMS断开风扇继电器开始冷却</t>
  </si>
  <si>
    <t>发送风扇继电器状态及电池包未冷却状态给VCU</t>
  </si>
  <si>
    <t>BMS_006</t>
  </si>
  <si>
    <t>放电冷却（液冷）</t>
  </si>
  <si>
    <t>最高电池温度Tmax≥35℃且平均温度Tmean≥32℃；BMS发送制冷模式、上高压请求给TMS后</t>
  </si>
  <si>
    <t>1、BMS闭合水冷机继电器并发继电器状态给TMS、VCU</t>
  </si>
  <si>
    <t>2、TMS反馈制冷模式、高压继电器闭合状态、出水温度回水温度给BMS；</t>
  </si>
  <si>
    <t>3、BMS发送进水口温度需求给TMS</t>
  </si>
  <si>
    <t>4、TMS发送制冷功率需求给BMS；</t>
  </si>
  <si>
    <t>5、发送加热继电器状态及电池包制冷中状态给VCU。</t>
  </si>
  <si>
    <t>BMS_007</t>
  </si>
  <si>
    <t>电池包冷却功率控制</t>
  </si>
  <si>
    <t>风冷电池包冷却功率控制</t>
  </si>
  <si>
    <t>最高电池温度Tmax≥35℃且平均温度Tmean≥32℃</t>
  </si>
  <si>
    <t>BMS控制电池散热风扇启动，恒功率散热</t>
  </si>
  <si>
    <t>液冷电池包冷却功率控制</t>
  </si>
  <si>
    <t>最高电池温度Tmax≥35℃且平均温度Tmean≥33℃</t>
  </si>
  <si>
    <t>1、BMS发送制冷模式、上高压请求给TMS后；BMS闭合水冷机组继电器并发继电器状态给TMS</t>
  </si>
  <si>
    <t>2、TMS反馈制热模式、高压继电器闭合状态；发送出水温度回水温度给BMS</t>
  </si>
  <si>
    <t>3、BMS发送进水后温度需求给TMS</t>
  </si>
  <si>
    <t>4、TMS发送制冷功率需求给BMS</t>
  </si>
  <si>
    <t>BMS_008</t>
  </si>
  <si>
    <t>液冷电池包降温故障处理</t>
  </si>
  <si>
    <t>放电冷却过程中分别制造电池包加热一二三级故障</t>
  </si>
  <si>
    <t>1级故障：不处理、BMS转发TMS故障给VCU。</t>
  </si>
  <si>
    <t>2级故障：BMS发送关机指令给TMS、BMS转发TMS故障给VCU；</t>
  </si>
  <si>
    <t>3级故障：BMS发送关机指令给TMS、并请求下高压、下高压、BMS转发TMS故障给VCU；</t>
  </si>
  <si>
    <t>历史记录</t>
  </si>
  <si>
    <t>版本</t>
  </si>
  <si>
    <t>更改人</t>
  </si>
  <si>
    <t>更改时间</t>
  </si>
  <si>
    <t>更改内容</t>
  </si>
  <si>
    <t>直流补电模式</t>
  </si>
  <si>
    <t>TC-DC-001</t>
  </si>
  <si>
    <t>直流补电全流程测试</t>
  </si>
  <si>
    <t>验证直流补电模式启动、运行、停止全流程</t>
  </si>
  <si>
    <t>1. 设备上电待机2. 无故障告警3. 直流充电枪连接正常</t>
  </si>
  <si>
    <t>1. 屏幕弹出：充电插座已连接，正在切换到直流补电模式</t>
  </si>
  <si>
    <t>2. 等待模式自动启动</t>
  </si>
  <si>
    <t>2. 进入直流补电页面，显示：补电中、电池电压、充电电流、已充电量、剩余电量</t>
  </si>
  <si>
    <t>3. 查看运行界面</t>
  </si>
  <si>
    <t>3. 报文：715xh (TCU_ModeCtrl=0)、18F0310Axh (TCU_ModeSts=0)</t>
  </si>
  <si>
    <t>4. 点击停止按钮退出</t>
  </si>
  <si>
    <t>4. 停止后返回首页，补电关闭</t>
  </si>
  <si>
    <t>直流放电模式</t>
  </si>
  <si>
    <t>TC-DC-002</t>
  </si>
  <si>
    <t>直流放电全流程测试</t>
  </si>
  <si>
    <t>验证直流放电模式启动、运行、停止全流程</t>
  </si>
  <si>
    <t>1. 设备上电待机2. 无故障告警3. 直流侧具备放电条件</t>
  </si>
  <si>
    <t>1. 触发直流模式切换</t>
  </si>
  <si>
    <t>1. 屏幕弹窗：是否退出交流模式？→ 点 YES</t>
  </si>
  <si>
    <t>2. 弹窗点击 YES 确认</t>
  </si>
  <si>
    <t>2. 提示：正在切换到直流工作模式…</t>
  </si>
  <si>
    <t>3. 查看放电运行界面</t>
  </si>
  <si>
    <t>3. 进入直流放电页面，显示：放电模式、放电中、电压 / 电流 / 功率
4. 报文：715xh (TCU_ModeCtrl=1)、18F0310Axh (TCU_ModeSts=1)</t>
  </si>
  <si>
    <t>5. 停止后返回首页，放电关闭</t>
  </si>
  <si>
    <t>交流补电模式</t>
  </si>
  <si>
    <t>TC-AC-001</t>
  </si>
  <si>
    <t>交流补电全流程测试</t>
  </si>
  <si>
    <t>验证交流补电模式启动、运行、停止全流程</t>
  </si>
  <si>
    <t>1. 设备上电待机2. 无故障告警3. 交流电网正常接入</t>
  </si>
  <si>
    <t>1. 首页点击【交流补电】</t>
  </si>
  <si>
    <t>1. 屏幕弹窗：是否启动交流补电模式？→ 点 YES</t>
  </si>
  <si>
    <t>2. 提示：正在启动交流补电模式…</t>
  </si>
  <si>
    <t>3. 查看补电运行界面</t>
  </si>
  <si>
    <t>3. 进入交流补电页面，显示：补电模式、补电中、三相 / 单相 / 直流电压、充电电流4. 报文：715xh (TCU_ModeCtrl=2)、18F0310Axh (TCU_ModeSts=2)</t>
  </si>
  <si>
    <t>5. 停止后首页显示：交流补电关</t>
  </si>
  <si>
    <t>交流放电模式</t>
  </si>
  <si>
    <t>TC-AC-002</t>
  </si>
  <si>
    <t>交流放电全流程测试</t>
  </si>
  <si>
    <t>验证交流放电模式启动、运行、停止全流程</t>
  </si>
  <si>
    <t>1. 设备上电待机2. 无故障告警3. 交流负载可接入</t>
  </si>
  <si>
    <t>1. 首页点击【交流放电】</t>
  </si>
  <si>
    <t>1. 屏幕弹窗：是否启动交流放电模式？→ 点 YES</t>
  </si>
  <si>
    <t>2. 进入交流放电页面，显示：放电模式、放电中、三相电压、放电电流、放电功率</t>
  </si>
  <si>
    <t>3. 报文：715xh (TCU_ModeCtrl=3)、18F0310Axh (TCU_ModeSts=3)</t>
  </si>
  <si>
    <t>4. 停止后首页显示：交流放电关</t>
  </si>
  <si>
    <t>DCAC 故障</t>
  </si>
  <si>
    <t>ERR-01</t>
  </si>
  <si>
    <t>交流过压故障测试</t>
  </si>
  <si>
    <t>CANoe 模拟交流过压，验证故障上报、屏显及平台同步</t>
  </si>
  <si>
    <t>设备上电待机；CANoe 在线；平台连接正常</t>
  </si>
  <si>
    <t>1.CANoe 定位 18F0310Axh  2. 强制 ACOV_Fault=1</t>
  </si>
  <si>
    <t>ERR-02</t>
  </si>
  <si>
    <t>交流欠压故障测试</t>
  </si>
  <si>
    <t>CANoe 模拟交流欠压，验证三级上报</t>
  </si>
  <si>
    <t>1.CANoe 定位 18F0310Axh  2. 强制 Mod_ACUV_Fault=1</t>
  </si>
  <si>
    <t>ERR-03</t>
  </si>
  <si>
    <t>直流输出过压故障测试</t>
  </si>
  <si>
    <t>CANoe 模拟直流过压，验证保护与上报</t>
  </si>
  <si>
    <t>1.CANoe 定位 18F0310Axh  2. 强制 DcOutput_OverVolt_Fault=1</t>
  </si>
  <si>
    <t>ERR-04</t>
  </si>
  <si>
    <t>直流输出欠压故障测试</t>
  </si>
  <si>
    <t>CANoe 模拟直流欠压，验证上报</t>
  </si>
  <si>
    <t>1.CANoe 定位 18F0310Axh  2. 强制 DcOut_UV_Fault=1</t>
  </si>
  <si>
    <t>ERR-05</t>
  </si>
  <si>
    <t>交流过压脱离故障</t>
  </si>
  <si>
    <t>CANoe 模拟过压关机，验证脱离</t>
  </si>
  <si>
    <t>ERR-06</t>
  </si>
  <si>
    <t>风扇不运行故障测试</t>
  </si>
  <si>
    <t>CANoe 模拟风扇故障，验证上报</t>
  </si>
  <si>
    <t>1.CANoe 定位 18F0310Axh  2. 强制 Fan_NoRun_Fault=1</t>
  </si>
  <si>
    <t>ERR-07</t>
  </si>
  <si>
    <t>环境过温故障测试</t>
  </si>
  <si>
    <t>CANoe 模拟过温，验证告警与上报</t>
  </si>
  <si>
    <t>1.CANoe 定位 18F0310Axh  2. 强制 Ambient_OverTemp_Fault=1</t>
  </si>
  <si>
    <t>12v dcdc</t>
  </si>
  <si>
    <t>12VDC/DC及控制</t>
  </si>
  <si>
    <t>小电池补能</t>
  </si>
  <si>
    <t>1、桩 ON 挡电；
2、DC/DC低压处于常电接通状态；
3、BMS处于放电上高压状态；</t>
  </si>
  <si>
    <t>1、VCU硬线唤醒12VDC/DC；
2、根据整机需求自主调整输出功率、电流、电压</t>
  </si>
  <si>
    <t>交流输出负载测试</t>
  </si>
  <si>
    <t>交流输出负载测试-切割机</t>
  </si>
  <si>
    <t>验证储能桩接3kw切割机能否正常工作</t>
  </si>
  <si>
    <t>交流放电功能正常</t>
  </si>
  <si>
    <t>1、储能桩输出接380v交流电</t>
  </si>
  <si>
    <t>1、实际最大功率2.45.最大电流12.5</t>
  </si>
  <si>
    <t>2、负载接到3kw切割机</t>
  </si>
  <si>
    <t>2、切割机可以正常工作，不停机</t>
  </si>
  <si>
    <t>3、储能桩切换交流放电模式</t>
  </si>
  <si>
    <t>4、开启切割机，查看切割机工作时候的最大电流和功率</t>
  </si>
  <si>
    <t>交流输出负载测试-电焊机</t>
  </si>
  <si>
    <t>验证储能桩接23kw电焊机能否正常工作</t>
  </si>
  <si>
    <t>1、实际最大功率10.最大电流22.9</t>
  </si>
  <si>
    <t>2、负载接到23kw切割机</t>
  </si>
  <si>
    <t>2、电焊机可以正常工作</t>
  </si>
  <si>
    <t>3、电焊机实际设置最大电压50v，电流100a</t>
  </si>
  <si>
    <t>4、开启电焊机，查看电焊机工作时候的最大电流和功率</t>
  </si>
  <si>
    <t>交流输出负载测试-储能桩</t>
  </si>
  <si>
    <t>验证储能桩接另一台储能桩能否正常工作</t>
  </si>
  <si>
    <t>1、储能桩1输出接380v交流电</t>
  </si>
  <si>
    <t>1、实际最大功率26.最大电流59.9</t>
  </si>
  <si>
    <t>2、储能桩2接380v交流电输入</t>
  </si>
  <si>
    <t>2、电流超过60过载</t>
  </si>
  <si>
    <t>3、储能桩1切换交流放电模式</t>
  </si>
  <si>
    <t>4、储能桩2切换交流补电模式</t>
  </si>
  <si>
    <t>5、记录最大放电电流和功率</t>
  </si>
  <si>
    <t>故障诊断</t>
  </si>
  <si>
    <t>tcu-002</t>
  </si>
  <si>
    <t>模块交流输入过压</t>
  </si>
  <si>
    <t>模拟交流过压，验证故障上报与保护</t>
  </si>
  <si>
    <t>设备上电、待机</t>
  </si>
  <si>
    <t>1.CANoe 发送 18F0310Axh，字节 1 位 0=1；2. 查看屏显；3. 查看平台</t>
  </si>
  <si>
    <t>报文：18F0310Axh 字节 1 位 0=1，DTC=D5 FF F5；屏显：模块交流输入过压；平台同步显示；停止补电</t>
  </si>
  <si>
    <t>tcu-007</t>
  </si>
  <si>
    <t>模块交流输入欠压</t>
  </si>
  <si>
    <t>模拟交流欠压，停止补电</t>
  </si>
  <si>
    <t>1.CANoe 发送 18F0310Axh，字节 1 位 1=1；2. 查看屏显；3. 查看平台</t>
  </si>
  <si>
    <t>报文：18F0310Axh 字节 1 位 1=1，DTC=D5 FF FA；屏显：模块交流输入欠压；平台同步；停止补电</t>
  </si>
  <si>
    <t>tcu-022</t>
  </si>
  <si>
    <t>交流过压脱离</t>
  </si>
  <si>
    <t>模拟过压关机，验证脱离</t>
  </si>
  <si>
    <t>交流运行中</t>
  </si>
  <si>
    <t>1.CANoe 发送 18F0310Axh，字节 1 位 6=1；2. 查看屏显；3. 查看平台</t>
  </si>
  <si>
    <t>报文：18F0310Axh 字节 1 位 6=1，DTC=D4 FF FE；屏显：交流过压脱离；平台同步；关机停止</t>
  </si>
  <si>
    <t>tcu-023</t>
  </si>
  <si>
    <t>直流输出过压</t>
  </si>
  <si>
    <t>模拟输出过压，保护</t>
  </si>
  <si>
    <t>放电运行中</t>
  </si>
  <si>
    <t>报文：18F0310Axh 字节 1 位 6=1，DTC=D3 FF F4；屏显：直流输出过压；平台同步；停止放电</t>
  </si>
  <si>
    <t>tcu-024</t>
  </si>
  <si>
    <t>直流输出欠压</t>
  </si>
  <si>
    <t>模拟输出欠压，告警</t>
  </si>
  <si>
    <t>1.CANoe 发送 18F0310Axh，字节 2 位 0=1；2. 查看屏显；3. 查看平台</t>
  </si>
  <si>
    <t>报文：18F0310Axh 字节 2 位 0=1，DTC=D3 FF F5；屏显：直流输出欠压；平台同步显示</t>
  </si>
  <si>
    <t>tcu-025</t>
  </si>
  <si>
    <t>风扇不运行</t>
  </si>
  <si>
    <t>模拟风扇故障，告警</t>
  </si>
  <si>
    <t>运行中</t>
  </si>
  <si>
    <t>1.CANoe 发送 18F0310Axh，字节 2 位 1=1；2. 查看屏显；3. 查看平台</t>
  </si>
  <si>
    <t>报文：18F0310Axh 字节 2 位 1=1，DTC=D3 FF F6；屏显：风扇不运行；平台同步；限功率</t>
  </si>
  <si>
    <t>tcu-038</t>
  </si>
  <si>
    <t>环境过温</t>
  </si>
  <si>
    <t>模拟环境过温，限功率</t>
  </si>
  <si>
    <t>1.CANoe 发送 18F0310Axh，字节 2 位 3=1；2. 查看屏显；3. 查看平台</t>
  </si>
  <si>
    <t>报文：18F0310Axh 字节 2 位 3=1，DTC=D1 FF F8；屏显：环境过温；平台同步；限功率运行</t>
  </si>
  <si>
    <t>VCU 电源管理</t>
  </si>
  <si>
    <t>VCU_001</t>
  </si>
  <si>
    <t>设备上电流程</t>
  </si>
  <si>
    <t>ON 档→低压→高压上电</t>
  </si>
  <si>
    <t>设备断电，无故障</t>
  </si>
  <si>
    <t>1. 开 ON 档电→观察屏显 + CANoe</t>
  </si>
  <si>
    <t>1. 30s 内屏显切换为待机界面；2. 报文：1802F38A HV_ONOFF_cmd=1、BMS/TCU/ACDC 上电反馈 = 1、无故障码</t>
  </si>
  <si>
    <t>VCU_002</t>
  </si>
  <si>
    <t>设备下电流程</t>
  </si>
  <si>
    <t>关 ON 档→高压→低压下电</t>
  </si>
  <si>
    <t>设备正常上电（待机界面）</t>
  </si>
  <si>
    <t>1. 关 ON 档电→观察屏显 + CANoe</t>
  </si>
  <si>
    <t>1. 1min 内屏显黑屏休眠；2. 报文：1802F38A HV_ONOFF_cmd=0、BMS/TCU/ACDC 下电反馈 = 0、无故障码</t>
  </si>
  <si>
    <t>VCU 高压控制</t>
  </si>
  <si>
    <t>VCU_006</t>
  </si>
  <si>
    <t>休眠</t>
  </si>
  <si>
    <t>断 ON 档→高压下电</t>
  </si>
  <si>
    <t>1. 60s 内屏显从待机界面逐步变暗至黑屏；2. 报文：1802F38A HV_OFF_REQ=1、高压继电器报文（18FF02F3xh）状态 = 14、无故障码</t>
  </si>
  <si>
    <t>唤醒</t>
  </si>
  <si>
    <t>ON 档-vcu唤醒</t>
  </si>
  <si>
    <t>1. 开 ON 档电</t>
  </si>
  <si>
    <t>vcu有报文输出</t>
  </si>
  <si>
    <t>VCU 报文路由</t>
  </si>
  <si>
    <t>VCU_007</t>
  </si>
  <si>
    <t>数据转发测试</t>
  </si>
  <si>
    <t>BMS/TCU 数据→转发 T-BOX</t>
  </si>
  <si>
    <t>设备上电（待机界面），放电回路正常</t>
  </si>
  <si>
    <t>1. 启动直流放电→观察屏显 + CANoe</t>
  </si>
  <si>
    <t>1. 屏显 “放电数据”，实时刷新功率、电流、电压；2. 报文：18FF01F3xh包含 BMS_SOC、总电流电压 ，数据无丢失</t>
  </si>
  <si>
    <t xml:space="preserve">VCU 急停功能
</t>
  </si>
  <si>
    <t>VCU_008</t>
  </si>
  <si>
    <t>急停功能</t>
  </si>
  <si>
    <t>急停→触发高压下电</t>
  </si>
  <si>
    <t>设备放电中</t>
  </si>
  <si>
    <t>1. 按下急停按钮→观察屏显 + CANoe</t>
  </si>
  <si>
    <t>1. 30s 内屏显黑屏；2. 报文：1802F38A Emergency_HV_OFF_REQ=2、BMS 继电器报文状态 = 0、无故障码</t>
  </si>
  <si>
    <t>急停解除</t>
  </si>
  <si>
    <t>释放急停-高低压上电</t>
  </si>
  <si>
    <t>急停按下</t>
  </si>
  <si>
    <t>释放急停开关</t>
  </si>
  <si>
    <t>整机重新上高低压电，报文正常</t>
  </si>
  <si>
    <t>平台</t>
  </si>
  <si>
    <t>数据采集</t>
  </si>
  <si>
    <t>BMS/tcu 数据→转发 T-BOX</t>
  </si>
  <si>
    <t>设备上电（待机界面）</t>
  </si>
  <si>
    <t>1. 查看tcu/bms；2. 查看平台</t>
  </si>
  <si>
    <t>报文信息跟平台数据同步</t>
  </si>
  <si>
    <t>故障报警</t>
  </si>
  <si>
    <t>故障监测</t>
  </si>
  <si>
    <t>验证BMS能按规范将故障分为一、二、三级，并正确发送至VCU</t>
  </si>
  <si>
    <t>BMS上电，高压上电完成，VCU与BMS通讯正常</t>
  </si>
  <si>
    <t>1. 依次模拟以下故障：单体过压、总压欠压、单体欠压、过温、过冷、温差过大、压差过大、绝缘过低、继电器粘连
2. 分别观察各故障触发时的CAN报文
3. 检查VCU是否接收到BMS发送的故障数据</t>
  </si>
  <si>
    <t>1. 每种故障触发时，18FF0DF3xh报文中对应故障位置1
2. VCU能正确接收到所有故障监测数据
3. 故障消失后对应故障位恢复为0</t>
  </si>
  <si>
    <t>TCU故障上报</t>
  </si>
  <si>
    <t>TCU检测到ACDC故障后，能通过CAN总线上报VCU，且VCU能将重要故障上报至平台</t>
  </si>
  <si>
    <t>TCU、VCU、ACDC模块通讯正常，TBOX与平台连接正常</t>
  </si>
  <si>
    <t>1. 模拟ACDC模块发送故障（如：PFCCanErr=1、ACOV_Fault=1等）
2. 监控CAN报文18F0310Axh中ACDC_ErrSts信号
3. 查看后台平台日志，确认VCU上报的故障记录</t>
  </si>
  <si>
    <t>1. TCU检测到ACDC故障后，ACDC_ErrSts=2（ACDC故障）
2. VCU接收到故障后，平台日志中可查询到对应的重要故障上报记录
3. 上报的故障码与故障码表定义一致</t>
  </si>
  <si>
    <t>故障反馈</t>
  </si>
  <si>
    <t>BMS上电，VCU与BMS通讯正常</t>
  </si>
  <si>
    <t xml:space="preserve">
1. 分别触发一级故障（如绝缘故障、单体过压）、二级故障（如总压欠压、温差过大）、三级故障（如一般报警）
2. 观察报文18FF0DF3xh中Highest_Alarm_Level信号值
3. 读取VCU接收到的故障等级信息</t>
  </si>
  <si>
    <t>1. 触发一级故障时，Highest_Alarm_Level=3
2. 触发二级故障时，Highest_Alarm_Level=2
3. 触发三级故障时，Highest_Alarm_Level=1
4. VCU接收到的故障等级与BMS发送一致</t>
  </si>
  <si>
    <t>故障处理</t>
  </si>
  <si>
    <t>验证BMS根据故障等级，执行对应的处理机制</t>
  </si>
  <si>
    <t>1. 触发需限功率50%的故障（如总压欠压），观察放电电流
2. 触发需限功率0%的故障（如单体过压），观察放电电流
3. 触发需下高压的故障（如绝缘故障），观察高压状态
4. 触发需禁止加热/冷却的故障，观察热管理状态</t>
  </si>
  <si>
    <t>1. 限功率50%故障：Power_DischargeContinue限为原值50%
2. 限功率0%故障：母线电流Cur_Bat=0A
3. 请求下高压故障：HV_OFF_REQ_feedback=2（已下高压）
4. 禁止加热/冷却故障：HeatStatus、BMS_RefrigerationStatus等对应状态为禁止</t>
  </si>
  <si>
    <t>故障存储</t>
  </si>
  <si>
    <t>当故障触发后，需要记录为历史故障；故障清除机制为BMS重新上电。</t>
  </si>
  <si>
    <t>BMS无历史故障记录</t>
  </si>
  <si>
    <t>1. 触发任意一级故障（如单体过压），确认故障已触发
2. 断开BMS低压电源，等待30秒后重新上电
3. 读取BMS历史故障记录
4. 在不重新上电的情况下，尝试清除故障</t>
  </si>
  <si>
    <t>1. 重新上电后，实时故障位均为0
2. 历史故障区可查询到之前触发的一级故障记录
3. 故障计数增加
4. 不重新上电时，故障无法清除</t>
  </si>
  <si>
    <t>安全系统</t>
  </si>
  <si>
    <t>绝缘检测</t>
  </si>
  <si>
    <t>验证BMS在唤醒后及高压上电后能实时监测绝缘值，并将绝缘值发送给VCU</t>
  </si>
  <si>
    <t>1. BMS唤醒后（高压未上电），模拟设置正极绝缘值为500kΩ、负极绝缘值为500kΩ
2. 观察报文18FF05F3xh中BATT_POSITIVE_RESISTANCE和BATT_NEGATIVE_RESISTANCE信号
3. 执行高压上电后，再次读取两个绝缘值信号
4. 分别模拟不同绝缘值（100kΩ、200kΩ、500kΩ、1MΩ），观察VCU接收到的数据</t>
  </si>
  <si>
    <t>1. 唤醒后及高压上电后，BMS均能实时发送正负极绝缘值
2. BATT_POSITIVE_RESISTANCE和BATT_NEGATIVE_RESISTANCE信号值与设定值一致（单位kΩ）
3. VCU能正确接收并解析BMS发送的绝缘值</t>
  </si>
  <si>
    <t>绝缘故障上报</t>
  </si>
  <si>
    <t>BMS根据故障列表规范对绝缘监测信息进行分级后，发送绝缘故障码及故障等级给VCU。</t>
  </si>
  <si>
    <t>1. 分别模拟绝缘值处于不同等级阈值区间（如：&lt;100kΩ、100-200kΩ、200-500kΩ）
2. 观察报文18FF0DF3xh中Err_ISO故障位
3. 观察报文18FF0DF3xh中Highest_Alarm_Level信号值
4. 确认VCU接收到的故障码与故障等级</t>
  </si>
  <si>
    <t>1. 绝缘值低于阈值时，Err_ISO=1
2. 绝缘故障等级与绝缘值匹配：
- 绝缘值&lt;100kΩ（一级）：Highest_Alarm_Level=3
- 100kΩ≤绝缘值&lt;200kΩ（二级）：Highest_Alarm_Level=2
- 200kΩ≤绝缘值&lt;500kΩ（三级）：Highest_Alarm_Level=1
3. VCU能正确接收故障码及故障等级</t>
  </si>
  <si>
    <t>绝缘故障处理</t>
  </si>
  <si>
    <t>验证BMS按绝缘故障等级执行对应处理：一、二级仅上报；三级限功率0%并响应下高压</t>
  </si>
  <si>
    <t>1. 模拟二级绝缘故障（100-200kΩ），观察车辆响应
2. 模拟一级绝缘故障（&lt;100kΩ），观察车辆响应
3. 模拟三级绝缘故障（200-500kΩ），观察车辆响应
4. 三级故障触发后，确认VCU是否下发下高压指令，以及BMS是否执行</t>
  </si>
  <si>
    <t>1. 二级绝缘故障：Highest_Alarm_Level=2，故障码上报，不限功率，不下高压
2. 一级绝缘故障：Highest_Alarm_Level=3，故障码上报，不限功率，不下高压
3. 三级绝缘故障：Highest_Alarm_Level=1，故障码上报，同时母线电流Cur_Bat=0A（限功率0%）
4. 三级故障下高压：收到VCU下高压指令后，HV_OFF_REQ_feedback=2（已下高压）</t>
  </si>
  <si>
    <t>操作步骤</t>
  </si>
  <si>
    <t>直流放电</t>
  </si>
  <si>
    <t>直流放电（即插即用）</t>
  </si>
  <si>
    <t>将枪插入目标车辆/充电测试箱，tcu检测到充电枪连接到被充车辆时即进行放电</t>
  </si>
  <si>
    <t>整车处于上电状态，BMS,CCU自检通过</t>
  </si>
  <si>
    <t>1.车辆上ON档电
通过屏幕设置放电模式为直流放电</t>
  </si>
  <si>
    <t>715xh TCU_ModeCtrl=0</t>
  </si>
  <si>
    <t>2.插入充电枪</t>
  </si>
  <si>
    <t>充电枪连接正常
10228AF6xh CC_ConnectCarStatus=0</t>
  </si>
  <si>
    <t>3.TCU检测到充电枪连接成功</t>
  </si>
  <si>
    <t>报文ID:18F102F6xh信号ChargeModeRseponse=5（1：遥控方式；2
扫码方式；5：即插即充），开始自动放电</t>
  </si>
  <si>
    <t>10228AF6 CC_K10=1
                 CC_K20=1</t>
  </si>
  <si>
    <t>5.60kw DCDC开始工作</t>
  </si>
  <si>
    <t>DCDC灯闪烁和风扇转动</t>
  </si>
  <si>
    <t>18FF02F3 BMS_BatStatus=12（增加实际功能表现放电电流电压）</t>
  </si>
  <si>
    <t>8.按下显示屏停止放电按钮</t>
  </si>
  <si>
    <t>8.显示屏下发 1003F68A VCU_ChargePortID=01/02
VCU_ChargeStopReason = 1，风扇停止运行</t>
  </si>
  <si>
    <t>9.断开K1、K2继电器</t>
  </si>
  <si>
    <t>9.10228AF6 
   CC_K10=0，CC_K20=0</t>
  </si>
  <si>
    <t>10.断开放负放正继电器</t>
  </si>
  <si>
    <t>10.18FF06F3  DisChargNegativeRelay=2
 DisChargPositiveRelay=2</t>
  </si>
  <si>
    <t>直流放电（扫码放电）</t>
  </si>
  <si>
    <t>将枪插入目标车辆/充电测试箱，扫描二维码对tcu发送启停充电指令</t>
  </si>
  <si>
    <t>3用户通过云平台对tcu发送启停充电指令（扫码）</t>
  </si>
  <si>
    <t>报文ID:18F102F6xh信号ChargeModeRseponse=2（1：遥控方式；2
扫码方式；5：即插即充），开始自动放电
TCU照GB/T 27930进行充电，并实时上传电量、功率、电压、电流等信息给平台</t>
  </si>
  <si>
    <t>6.60kw DCDC开始工作</t>
  </si>
  <si>
    <t>8.按下显示屏停止放电按钮/点击小程序结束冲电</t>
  </si>
  <si>
    <t>8.显示屏下发 1003F68A VCU_ChargePortID=01/02
VCU_ChargeStopReason = 1，风扇停止运行
平台下发停止放电VCU_ChargeStopReason = 1，风扇停止运行</t>
  </si>
  <si>
    <t>交流放电</t>
  </si>
  <si>
    <t>将放电模式设置成交流放电对插座进行供电</t>
  </si>
  <si>
    <t>1.车辆上ON档电
通过屏幕设置放电模式为交流放电</t>
  </si>
  <si>
    <t>715xh TCU_ModeCtrl=3</t>
  </si>
  <si>
    <t>TCU控制ACDC进行逆变，为380V插座供电</t>
  </si>
  <si>
    <t>插座有电，用电器可正常工作</t>
  </si>
  <si>
    <t>TCU控制ACDC进行逆变，为三个220V插座供电</t>
  </si>
  <si>
    <t>直流补电</t>
  </si>
  <si>
    <t>将充电桩插入充电柜，开始补能</t>
  </si>
  <si>
    <t>系统上ON档电；BMS处于放电上高压状态</t>
  </si>
  <si>
    <t>1.插入充电枪</t>
  </si>
  <si>
    <t>1.充电桩与充电柜连接成功</t>
  </si>
  <si>
    <t>2.BMS控制充负1和充负2继电器闭合</t>
  </si>
  <si>
    <t>2.18FF06F3 ChargPositiveRelay1 = 1 
   ChargNegativeRelay1=1</t>
  </si>
  <si>
    <t>3.等待3min</t>
  </si>
  <si>
    <t>3.补能功率按照MAP图输出，12V蓄电池开始充电</t>
  </si>
  <si>
    <t>4.结束放电</t>
  </si>
  <si>
    <t>4.断开充正充负继电器</t>
  </si>
  <si>
    <t>交流补电</t>
  </si>
  <si>
    <t>将交流电插入整机，进行交流补电</t>
  </si>
  <si>
    <t>1、通过显示屏将整机模式切换为交流补电模式；</t>
  </si>
  <si>
    <t>715xh TCU_ModeCtrl=2</t>
  </si>
  <si>
    <t>2、TCU接收到交流补电指令后，控制ACDC进入到整流模式；</t>
  </si>
  <si>
    <t>3、将工业电接入到整机，系统进行交流补电。</t>
  </si>
  <si>
    <t>TCU根据BMS的状态请求，控制ACDC进入到恒流/恒压充电模式</t>
  </si>
  <si>
    <t>18F0305Axh Mod_Char=0</t>
  </si>
  <si>
    <t>2.18FF06F3 ChargPositiveRelay1 = 1 
   ChargNegativeRelay1=1</t>
  </si>
  <si>
    <t>故障下电</t>
  </si>
  <si>
    <t>BMS故障三级强制下电</t>
  </si>
  <si>
    <t>充电或放电正常时</t>
  </si>
  <si>
    <t>1.制造BMS三级故障</t>
  </si>
  <si>
    <t>强制下电，断开继电器，并上报故障</t>
  </si>
  <si>
    <t>故障等级处理</t>
  </si>
  <si>
    <t>一 / 二 / 三级故障响应</t>
  </si>
  <si>
    <t>交流放电（50kW）</t>
  </si>
  <si>
    <t>1.CANoe 依次强制一 / 二 / 三级故障</t>
  </si>
  <si>
    <t>1. 一级（过温）：屏显 “环境过温”，报文 Fault_Level=1，功率 50kW 不变</t>
  </si>
  <si>
    <t>2. 二级（欠压）：屏显 “直流欠压”，报文 Fault_Level=2，功率 25kW</t>
  </si>
  <si>
    <t>3. 三级（通信）：屏显 “通信故障”，报文 Fault_Level=3，功率 0kW</t>
  </si>
  <si>
    <t>BMS_009</t>
  </si>
  <si>
    <t>连续充电</t>
  </si>
  <si>
    <t>连续充电至100%后自动断开</t>
  </si>
  <si>
    <t>充电功能正常</t>
  </si>
  <si>
    <t>插入充电枪</t>
  </si>
  <si>
    <t>充电桩与桩连接成功</t>
  </si>
  <si>
    <t>连续充电至100%</t>
  </si>
  <si>
    <t>充满后自动断开</t>
  </si>
  <si>
    <t>连续放电</t>
  </si>
  <si>
    <t>整车无故障，上装电池SOC大于40%</t>
  </si>
  <si>
    <t>放电功能正常</t>
  </si>
  <si>
    <t>1.将充电枪插入目标车辆</t>
  </si>
  <si>
    <t>目标车辆显示枪已连接</t>
  </si>
  <si>
    <t>2.按下放电按钮</t>
  </si>
  <si>
    <t>开始放电</t>
  </si>
  <si>
    <t>3.BMS电池电量小于10%</t>
  </si>
  <si>
    <t>停止放电</t>
  </si>
  <si>
    <t>BMS_010</t>
  </si>
  <si>
    <t>急停下电功能</t>
  </si>
  <si>
    <t>整车上电后，向外部充电，VCU向CCU发送紧急下电指令，CCU停止充电</t>
  </si>
  <si>
    <t>充电枪连接成功
10228AF6xh CC_ConnectCarStatus=0</t>
  </si>
  <si>
    <t>3.BMS发送放电</t>
  </si>
  <si>
    <t>目标车辆开始充电
18FF02F3 BMS_BatStatus=12</t>
  </si>
  <si>
    <t>4.按下急停按钮</t>
  </si>
  <si>
    <t>VCU发送紧急下高压指令给BMS
1802F38A
VCU_Emergency_HV_OFF_REQ=2</t>
  </si>
  <si>
    <t>5.CCU发送停止充电指令</t>
  </si>
  <si>
    <t>10138AF6
CC_ChargeStopReason=1</t>
  </si>
  <si>
    <t>BMS_011</t>
  </si>
  <si>
    <t>充电停止按钮</t>
  </si>
  <si>
    <t>整车上电后，向外部充电，按下显示屏停止按钮，tcu停止放电</t>
  </si>
  <si>
    <t>4.按下显示屏停止按钮</t>
  </si>
  <si>
    <t>5.TCU解锁电子锁</t>
  </si>
  <si>
    <t>100DF68A 
Operation_instructions=0</t>
  </si>
  <si>
    <t>故障上报</t>
  </si>
  <si>
    <t>整车上电后，充电控制系统和BMS向整车上报故障</t>
  </si>
  <si>
    <t>1.整车上电，CCU开始自检，当CCU有故障时</t>
  </si>
  <si>
    <t>CCU向VCU发送故障信息</t>
  </si>
  <si>
    <t>BMS_012</t>
  </si>
  <si>
    <t>整车上电后，充电控制系统向VCU发送故障状态信息</t>
  </si>
  <si>
    <t>2.遥控器拨至放电按钮，VCU发送请求上高压</t>
  </si>
  <si>
    <t>1802F38Axh VCU_HV_ONOFF_cmd=1</t>
  </si>
  <si>
    <t>目标车辆开始充电
18FF01F3 BMS_BatStatus=10</t>
  </si>
  <si>
    <t>4.充电过程中CCU故障</t>
  </si>
  <si>
    <t>停止充电，CCU向VCU发送故障信息</t>
  </si>
  <si>
    <t>BMS_013</t>
  </si>
  <si>
    <t>故障存储与清除</t>
  </si>
  <si>
    <t>故障存储 + 重启清除</t>
  </si>
  <si>
    <t>1.CANoe 强制风扇故障→查故障→重启</t>
  </si>
  <si>
    <t>1. 故障时：屏显 “风扇故障”，报文 Fan_NoRun_Fault=1</t>
  </si>
  <si>
    <t>2. 重启后：屏显无故障，报文 Fan_NoRun_Fault=0</t>
  </si>
  <si>
    <t>sop表发送-放电 SOP 测试</t>
  </si>
  <si>
    <t>SOP-001</t>
  </si>
  <si>
    <t>兰钧电池 25℃~40℃、SOC85%~100% 满功率放电验证</t>
  </si>
  <si>
    <t>验证兰钧电池在标准常温区间、高 SOC 区间下，BMS 放电 SOP 输出额定满功率，整车 / 整机无降功率限制</t>
  </si>
  <si>
    <t>1、设备高压上电完成，系统无故障；2、电池为兰钧磷酸铁锂电池；3、无告警、无保护限制</t>
  </si>
  <si>
    <t>1、电池温度 25℃~40℃；
2、 SOC 区间为 85%~100%；
3、下发放电指令，开启满功率放电；
4、监控 BMS 放电 SOP 报文、实际放电功率、上位机与屏显状态</t>
  </si>
  <si>
    <t>1、BMS 上报最大放电 SOP 为额定满功率60kw；
2、系统无降功率限流逻辑；
3、实际放电功率正常拉满，运行稳定4、屏显、后台平台无功率受限告警</t>
  </si>
  <si>
    <t>SOP-002</t>
  </si>
  <si>
    <t>临工新能源电池(107kwh) 15℃~45℃、SOC20%~100% 满功率放电验证</t>
  </si>
  <si>
    <t>验证临工新能源电池常规工作温区、全段可用 SOC 范围内，放电 SOP 允许满功率输出，无主动降功率限制</t>
  </si>
  <si>
    <t>1. 设备高压上电正常，整机无故障、无告警；2. 电池为临工新能源配套电池；3. 系统无保护限流触发</t>
  </si>
  <si>
    <t>1. 电池温度 15℃~45℃；
2.SOC 区间 20%~100%；
3. 下发放电指令，执行满功率放电；
4. 持续监控 BMS 放电 SOP 报文、实际放电功率及屏显、平台状态</t>
  </si>
  <si>
    <t>1、BMS 上报最大放电 SOP 为额定满功率60kw；
2、系统无降功率、限流限制；
3、实际放电可稳定满功率运行；
4、显示屏及平台无功率受限类告警</t>
  </si>
  <si>
    <t>SOP-003</t>
  </si>
  <si>
    <t>临工新能源电池(71kwh) 
15℃~45℃、SOC20%~100% 满功率放电验证</t>
  </si>
  <si>
    <t>1、BMS 上报最大放电 SOP 为额定满功率30kw；
2、系统无降功率、限流限制；
3、实际放电可稳定满功率运行；
4、显示屏及平台无功率受限类告警</t>
  </si>
  <si>
    <t>sop表发送-充电 SOP 测试</t>
  </si>
  <si>
    <t>SOP-004</t>
  </si>
  <si>
    <t>验证兰钧电池在标准充电温区、低 SOC 区间内，充电 SOP 允许 1C 倍率正常充电，无降额限流保护</t>
  </si>
  <si>
    <t>1. 设备高压上电正常，整机无故障、无告警；2. 搭载兰钧动力电池；3. 充电回路完好，无保护类限制触发</t>
  </si>
  <si>
    <t>1. 电池温度 20℃~50℃；
2. SOC 区间 0%~60%；
3. 下发充电指令，执行 1C 倍率充电；
4. 持续监控充电 SOP 报文、实际充电电流、屏显及平台状态</t>
  </si>
  <si>
    <t>电池理论 1C 充电功率为 107kw，BMS 充电 SOP 开放 1C 倍率权限；受整机硬件限制，实际以60kw 满功率稳定充电；系统无降功率、无告警，充电运行正常</t>
  </si>
  <si>
    <t>SOP-005</t>
  </si>
  <si>
    <t>临工新能源电池(71kwh) 
 20℃~45℃、SOC0%~60% 1C 倍率充电验证</t>
  </si>
  <si>
    <t>验证临工新能源电池在适宜充电温度区间、低中 SOC 段，充电 SOP 可支持 1C 倍率正常充电，无降额限流</t>
  </si>
  <si>
    <t>1. 整机高压上电完成，无故障、无告警；2. 搭载临工新能源配套电池；3. 充电回路正常，无保护限制触发</t>
  </si>
  <si>
    <t>1. 电池温度 20℃~45℃；
2.SOC 区间 0%~60%；
3. 下发充电指令，开启 1C 倍率充电；
4. 监控充电 SOP 报文、实际充电电流、整机屏显及后台平台</t>
  </si>
  <si>
    <t>电池理论 1C 充电功率为 71kW，BMS 充电 SOP 开放 1C 倍率权限；受整机硬件限制，实际以 30kW 满功率稳定充电；系统无降功率、无告警，充电运行正常</t>
  </si>
  <si>
    <t>SOP-006</t>
  </si>
  <si>
    <t>临工新能源电池(107kwh) 
 20℃~45℃、SOC0%~60% 1C 倍率充电验证</t>
  </si>
  <si>
    <t>电池理论 1C 充电功率为 107kw，BMS 充电 SOP 开放 1C 倍率权限；受整机硬件限制，实际以 60kw 满功率稳定充电；系统无降功率、无告警，充电运行正常</t>
  </si>
  <si>
    <t>状态发送</t>
  </si>
  <si>
    <t>SOC发送</t>
  </si>
  <si>
    <t>BMS唤醒后，发送电池实时soc值</t>
  </si>
  <si>
    <t>1. 整机高压上电完成，无故障、无告警</t>
  </si>
  <si>
    <t>1、整机高压上电完成
2、查看报文</t>
  </si>
  <si>
    <t>18FF01F3xh soc=</t>
  </si>
  <si>
    <t>电压发送</t>
  </si>
  <si>
    <t>BMS唤醒后，发送电池实时电压值</t>
  </si>
  <si>
    <t>18FF01F3xh Vol_Bat=</t>
  </si>
  <si>
    <t>电流发送</t>
  </si>
  <si>
    <t>BMS唤醒后，发送电池实时电流值</t>
  </si>
  <si>
    <t>18FF01F3xh cur_Bat=</t>
  </si>
  <si>
    <t>工作状态发送</t>
  </si>
  <si>
    <t>BMS唤醒后，发送电池实时工作状态值</t>
  </si>
  <si>
    <t>18FF02F3xh BMS_BatStatus=2</t>
  </si>
  <si>
    <t>绝缘电阻发送</t>
  </si>
  <si>
    <t>BMS唤醒后，发送电池实时绝缘阻值</t>
  </si>
  <si>
    <t>18FF05F3xh InsulationValue=</t>
  </si>
  <si>
    <t>本地升级</t>
  </si>
  <si>
    <t>程序升级</t>
  </si>
  <si>
    <t>连接上位机，升级bms程序</t>
  </si>
  <si>
    <t>1. BMS接通，上位机与其连接正常；2. 上位机选择本地匹配升级文件，点击开始升级；3. 升级完成后重启BMS，验证版本及功能。</t>
  </si>
  <si>
    <t xml:space="preserve">
</t>
  </si>
  <si>
    <t>1. 连接稳定，文件识别正常；2. 升级无卡顿，完成后自动重启；3. 版本匹配，BMS功能正常。</t>
  </si>
  <si>
    <r>
      <rPr>
        <b/>
        <sz val="10"/>
        <color indexed="8"/>
        <rFont val="宋体"/>
        <family val="3"/>
        <charset val="134"/>
      </rPr>
      <t>操作步骤</t>
    </r>
  </si>
  <si>
    <r>
      <rPr>
        <b/>
        <sz val="10"/>
        <color indexed="8"/>
        <rFont val="宋体"/>
        <family val="3"/>
        <charset val="134"/>
      </rPr>
      <t>预期结果</t>
    </r>
  </si>
  <si>
    <r>
      <rPr>
        <b/>
        <sz val="10"/>
        <color indexed="8"/>
        <rFont val="宋体"/>
        <family val="3"/>
        <charset val="134"/>
      </rPr>
      <t>验证结果</t>
    </r>
  </si>
  <si>
    <r>
      <rPr>
        <b/>
        <sz val="10"/>
        <color indexed="8"/>
        <rFont val="宋体"/>
        <family val="3"/>
        <charset val="134"/>
      </rPr>
      <t>操作步骤</t>
    </r>
  </si>
  <si>
    <r>
      <rPr>
        <b/>
        <sz val="10"/>
        <color indexed="8"/>
        <rFont val="宋体"/>
        <family val="3"/>
        <charset val="134"/>
      </rPr>
      <t>预期结果</t>
    </r>
  </si>
  <si>
    <r>
      <rPr>
        <b/>
        <sz val="10"/>
        <color indexed="8"/>
        <rFont val="宋体"/>
        <family val="3"/>
        <charset val="134"/>
      </rPr>
      <t>验证结果</t>
    </r>
  </si>
  <si>
    <r>
      <rPr>
        <b/>
        <sz val="8"/>
        <color indexed="8"/>
        <rFont val="宋体"/>
        <family val="3"/>
        <charset val="134"/>
      </rPr>
      <t>操作步骤</t>
    </r>
  </si>
  <si>
    <r>
      <rPr>
        <b/>
        <sz val="8"/>
        <color indexed="8"/>
        <rFont val="宋体"/>
        <family val="3"/>
        <charset val="134"/>
      </rPr>
      <t>验证结果</t>
    </r>
  </si>
  <si>
    <r>
      <rPr>
        <sz val="10"/>
        <color rgb="FF000000"/>
        <rFont val="等线"/>
        <family val="3"/>
        <charset val="134"/>
      </rPr>
      <t>1. 屏幕：弹出交流过压告警，故障页显示交流过压
2. 报文：18F0310Axh.ACOV_Fault=1
3. 平台：显示</t>
    </r>
    <r>
      <rPr>
        <b/>
        <sz val="10"/>
        <color rgb="FF000000"/>
        <rFont val="等线"/>
        <family val="3"/>
        <charset val="134"/>
      </rPr>
      <t>交流过压故障</t>
    </r>
  </si>
  <si>
    <r>
      <rPr>
        <sz val="10"/>
        <color rgb="FF000000"/>
        <rFont val="等线"/>
        <family val="3"/>
        <charset val="134"/>
      </rPr>
      <t>1. 屏幕：显示交流欠压故障告警
2. 报文：18F0310Axh.Mod_ACUV_Fault=1
3. 平台：显示</t>
    </r>
    <r>
      <rPr>
        <b/>
        <sz val="10"/>
        <color rgb="FF000000"/>
        <rFont val="等线"/>
        <family val="3"/>
        <charset val="134"/>
      </rPr>
      <t>交流欠压故障</t>
    </r>
  </si>
  <si>
    <r>
      <rPr>
        <sz val="10"/>
        <color rgb="FF000000"/>
        <rFont val="等线"/>
        <family val="3"/>
        <charset val="134"/>
      </rPr>
      <t>1. 屏幕：故障停机，提示直流过压
2. 报文：18F0310Axh.DcOutput_OverVolt_Fault=1
3. 平台：显示</t>
    </r>
    <r>
      <rPr>
        <b/>
        <sz val="10"/>
        <color rgb="FF000000"/>
        <rFont val="等线"/>
        <family val="3"/>
        <charset val="134"/>
      </rPr>
      <t>直流输出过压故障</t>
    </r>
  </si>
  <si>
    <r>
      <rPr>
        <sz val="10"/>
        <color rgb="FF000000"/>
        <rFont val="等线"/>
        <family val="3"/>
        <charset val="134"/>
      </rPr>
      <t>1. 屏幕：显示直流欠压故障
2. 报文：18F0310Axh.DcOut_UV_Fault=1
3. 平台：显示</t>
    </r>
    <r>
      <rPr>
        <b/>
        <sz val="10"/>
        <color rgb="FF000000"/>
        <rFont val="等线"/>
        <family val="3"/>
        <charset val="134"/>
      </rPr>
      <t>直流输出欠压故障</t>
    </r>
  </si>
  <si>
    <r>
      <rPr>
        <sz val="10"/>
        <color rgb="FF000000"/>
        <rFont val="等线"/>
        <family val="3"/>
        <charset val="134"/>
      </rPr>
      <t>1. 屏幕：提示设备故障
2. 报文：18F0310Axh.ACOV_Fault=1
3. 平台：显示</t>
    </r>
    <r>
      <rPr>
        <b/>
        <sz val="10"/>
        <color rgb="FF000000"/>
        <rFont val="等线"/>
        <family val="3"/>
        <charset val="134"/>
      </rPr>
      <t>交流过压脱离故障</t>
    </r>
  </si>
  <si>
    <r>
      <rPr>
        <sz val="10"/>
        <color rgb="FF000000"/>
        <rFont val="等线"/>
        <family val="3"/>
        <charset val="134"/>
      </rPr>
      <t>1. 屏幕：显示风扇故障告警
2. 报文：18F0310Axh.Fan_NoRun_Fault=1
3. 平台：显示</t>
    </r>
    <r>
      <rPr>
        <b/>
        <sz val="10"/>
        <color rgb="FF000000"/>
        <rFont val="等线"/>
        <family val="3"/>
        <charset val="134"/>
      </rPr>
      <t>风扇不运行故障</t>
    </r>
  </si>
  <si>
    <r>
      <rPr>
        <sz val="10"/>
        <color rgb="FF000000"/>
        <rFont val="等线"/>
        <family val="3"/>
        <charset val="134"/>
      </rPr>
      <t>1. 屏幕：环境过温告警 / 降额
2. 报文：18F0310Axh.Ambient_OverTemp_Fault=1
3. 平台：显示</t>
    </r>
    <r>
      <rPr>
        <b/>
        <sz val="10"/>
        <color rgb="FF000000"/>
        <rFont val="等线"/>
        <family val="3"/>
        <charset val="134"/>
      </rPr>
      <t>环境过温故障</t>
    </r>
  </si>
  <si>
    <r>
      <rPr>
        <b/>
        <sz val="8"/>
        <color indexed="8"/>
        <rFont val="宋体"/>
        <family val="3"/>
        <charset val="134"/>
      </rPr>
      <t>预期结果</t>
    </r>
  </si>
  <si>
    <r>
      <rPr>
        <sz val="8"/>
        <color theme="1"/>
        <rFont val="等线"/>
        <family val="3"/>
        <charset val="134"/>
        <scheme val="minor"/>
      </rPr>
      <t>4.Tcu</t>
    </r>
    <r>
      <rPr>
        <sz val="8"/>
        <color indexed="8"/>
        <rFont val="宋体"/>
        <family val="3"/>
        <charset val="134"/>
      </rPr>
      <t>闭合K10和K20继电器</t>
    </r>
  </si>
  <si>
    <r>
      <rPr>
        <sz val="8"/>
        <color theme="1"/>
        <rFont val="等线"/>
        <family val="3"/>
        <charset val="134"/>
        <scheme val="minor"/>
      </rPr>
      <t>6.BMS</t>
    </r>
    <r>
      <rPr>
        <sz val="8"/>
        <color indexed="8"/>
        <rFont val="宋体"/>
        <family val="3"/>
        <charset val="134"/>
      </rPr>
      <t>开始放电</t>
    </r>
  </si>
  <si>
    <r>
      <rPr>
        <sz val="8"/>
        <color theme="1"/>
        <rFont val="等线"/>
        <family val="3"/>
        <charset val="134"/>
        <scheme val="minor"/>
      </rPr>
      <t>5.Tcu</t>
    </r>
    <r>
      <rPr>
        <sz val="8"/>
        <color indexed="8"/>
        <rFont val="宋体"/>
        <family val="3"/>
        <charset val="134"/>
      </rPr>
      <t>闭合K10和K20继电器</t>
    </r>
  </si>
  <si>
    <r>
      <rPr>
        <sz val="8"/>
        <color theme="1"/>
        <rFont val="等线"/>
        <family val="3"/>
        <charset val="134"/>
        <scheme val="minor"/>
      </rPr>
      <t>7.BMS</t>
    </r>
    <r>
      <rPr>
        <sz val="8"/>
        <color indexed="8"/>
        <rFont val="宋体"/>
        <family val="3"/>
        <charset val="134"/>
      </rPr>
      <t>开始放电</t>
    </r>
  </si>
  <si>
    <r>
      <rPr>
        <sz val="8"/>
        <color theme="1"/>
        <rFont val="等线"/>
        <family val="3"/>
        <charset val="134"/>
        <scheme val="minor"/>
      </rPr>
      <t>2.Tcu</t>
    </r>
    <r>
      <rPr>
        <sz val="8"/>
        <color indexed="8"/>
        <rFont val="宋体"/>
        <family val="3"/>
        <charset val="134"/>
      </rPr>
      <t>闭合K10和K20继电器</t>
    </r>
  </si>
  <si>
    <r>
      <rPr>
        <sz val="8"/>
        <rFont val="Calibri"/>
        <family val="2"/>
      </rPr>
      <t>TCU</t>
    </r>
    <r>
      <rPr>
        <sz val="8"/>
        <rFont val="等线"/>
        <family val="3"/>
        <charset val="134"/>
        <scheme val="minor"/>
      </rPr>
      <t>收到信号断开</t>
    </r>
    <r>
      <rPr>
        <sz val="8"/>
        <rFont val="Calibri"/>
        <family val="2"/>
      </rPr>
      <t>K10</t>
    </r>
    <r>
      <rPr>
        <sz val="8"/>
        <rFont val="等线"/>
        <family val="3"/>
        <charset val="134"/>
        <scheme val="minor"/>
      </rPr>
      <t>和</t>
    </r>
    <r>
      <rPr>
        <sz val="8"/>
        <rFont val="Calibri"/>
        <family val="2"/>
      </rPr>
      <t>K20</t>
    </r>
    <r>
      <rPr>
        <sz val="8"/>
        <rFont val="等线"/>
        <family val="3"/>
        <charset val="134"/>
        <scheme val="minor"/>
      </rPr>
      <t>继电器（</t>
    </r>
    <r>
      <rPr>
        <sz val="8"/>
        <rFont val="Calibri"/>
        <family val="2"/>
      </rPr>
      <t>10228AF6 CC_K10=0 CC_K20=0</t>
    </r>
    <r>
      <rPr>
        <sz val="8"/>
        <rFont val="等线"/>
        <family val="3"/>
        <charset val="134"/>
        <scheme val="minor"/>
      </rPr>
      <t>）</t>
    </r>
  </si>
  <si>
    <r>
      <rPr>
        <b/>
        <sz val="11"/>
        <rFont val="等线"/>
        <family val="3"/>
        <charset val="134"/>
      </rPr>
      <t>兰钧电池</t>
    </r>
    <r>
      <rPr>
        <sz val="11"/>
        <rFont val="等线"/>
        <family val="3"/>
        <charset val="134"/>
      </rPr>
      <t>20℃~50℃、SOC0%~60% 1C 倍率充电验证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</si>
</sst>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85">
    <font>
      <sz val="11"/>
      <color theme="1"/>
      <name val="等线"/>
      <charset val="134"/>
      <scheme val="minor"/>
    </font>
    <font>
      <b/>
      <sz val="8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8"/>
      <color indexed="8"/>
      <name val="Arial"/>
      <family val="2"/>
    </font>
    <font>
      <sz val="10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0"/>
      <color rgb="FF0061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0"/>
      <color indexed="8"/>
      <name val="宋体"/>
      <family val="3"/>
      <charset val="134"/>
    </font>
    <font>
      <b/>
      <sz val="10"/>
      <color indexed="8"/>
      <name val="Arial"/>
      <family val="2"/>
    </font>
    <font>
      <b/>
      <sz val="10"/>
      <color rgb="FF000000"/>
      <name val="宋体"/>
      <family val="3"/>
      <charset val="134"/>
    </font>
    <font>
      <b/>
      <sz val="10"/>
      <name val="宋体"/>
      <family val="3"/>
      <charset val="134"/>
    </font>
    <font>
      <sz val="10"/>
      <color theme="1"/>
      <name val="等线"/>
      <family val="3"/>
      <charset val="134"/>
    </font>
    <font>
      <sz val="10"/>
      <name val="等线"/>
      <family val="3"/>
      <charset val="134"/>
      <scheme val="minor"/>
    </font>
    <font>
      <sz val="10"/>
      <name val="等线"/>
      <family val="3"/>
      <charset val="134"/>
    </font>
    <font>
      <sz val="10"/>
      <color theme="1"/>
      <name val="等线"/>
      <family val="3"/>
      <charset val="134"/>
    </font>
    <font>
      <sz val="11"/>
      <name val="等线"/>
      <family val="3"/>
      <charset val="134"/>
    </font>
    <font>
      <sz val="11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sz val="10"/>
      <color indexed="8"/>
      <name val="Arial"/>
      <family val="2"/>
    </font>
    <font>
      <sz val="10"/>
      <color theme="1"/>
      <name val="宋体"/>
      <family val="3"/>
      <charset val="134"/>
    </font>
    <font>
      <sz val="8"/>
      <color theme="1"/>
      <name val="宋体"/>
      <family val="3"/>
      <charset val="134"/>
    </font>
    <font>
      <sz val="10"/>
      <color rgb="FF006100"/>
      <name val="等线"/>
      <family val="3"/>
      <charset val="134"/>
    </font>
    <font>
      <sz val="8"/>
      <color theme="1"/>
      <name val="等线"/>
      <family val="3"/>
      <charset val="134"/>
    </font>
    <font>
      <b/>
      <sz val="10"/>
      <color indexed="8"/>
      <name val="宋体"/>
      <family val="3"/>
      <charset val="134"/>
    </font>
    <font>
      <b/>
      <sz val="10"/>
      <color indexed="8"/>
      <name val="Arial"/>
      <family val="2"/>
    </font>
    <font>
      <b/>
      <sz val="10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2"/>
      <color theme="1"/>
      <name val="等线"/>
      <family val="3"/>
      <charset val="134"/>
      <scheme val="minor"/>
    </font>
    <font>
      <sz val="10"/>
      <color indexed="8"/>
      <name val="Arial"/>
      <family val="2"/>
    </font>
    <font>
      <sz val="8"/>
      <color rgb="FF006100"/>
      <name val="等线"/>
      <family val="3"/>
      <charset val="134"/>
      <scheme val="minor"/>
    </font>
    <font>
      <b/>
      <sz val="8"/>
      <color indexed="8"/>
      <name val="宋体"/>
      <family val="3"/>
      <charset val="134"/>
    </font>
    <font>
      <b/>
      <sz val="8"/>
      <color indexed="8"/>
      <name val="Arial"/>
      <family val="2"/>
    </font>
    <font>
      <b/>
      <sz val="8"/>
      <color rgb="FF000000"/>
      <name val="宋体"/>
      <family val="3"/>
      <charset val="134"/>
    </font>
    <font>
      <b/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8"/>
      <name val="等线"/>
      <family val="3"/>
      <charset val="134"/>
      <scheme val="minor"/>
    </font>
    <font>
      <sz val="8"/>
      <name val="等线"/>
      <family val="3"/>
      <charset val="134"/>
      <scheme val="minor"/>
    </font>
    <font>
      <sz val="8"/>
      <name val="等线"/>
      <family val="3"/>
      <charset val="134"/>
    </font>
    <font>
      <sz val="8"/>
      <name val="等线"/>
      <family val="3"/>
      <charset val="134"/>
    </font>
    <font>
      <sz val="8"/>
      <name val="宋体"/>
      <family val="3"/>
      <charset val="134"/>
    </font>
    <font>
      <sz val="8"/>
      <name val="Arial"/>
      <family val="2"/>
    </font>
    <font>
      <sz val="8"/>
      <name val="Arial"/>
      <family val="2"/>
    </font>
    <font>
      <b/>
      <sz val="8"/>
      <name val="宋体"/>
      <family val="3"/>
      <charset val="134"/>
    </font>
    <font>
      <sz val="8"/>
      <name val="等线"/>
      <family val="2"/>
      <scheme val="minor"/>
    </font>
    <font>
      <strike/>
      <sz val="8"/>
      <name val="Arial"/>
      <family val="2"/>
    </font>
    <font>
      <strike/>
      <sz val="8"/>
      <name val="等线"/>
      <family val="3"/>
      <charset val="134"/>
    </font>
    <font>
      <strike/>
      <sz val="8"/>
      <name val="等线"/>
      <family val="3"/>
      <charset val="134"/>
      <scheme val="minor"/>
    </font>
    <font>
      <sz val="8"/>
      <color rgb="FFC00000"/>
      <name val="等线"/>
      <family val="3"/>
      <charset val="134"/>
    </font>
    <font>
      <sz val="8"/>
      <color rgb="FFC00000"/>
      <name val="等线"/>
      <family val="3"/>
      <charset val="134"/>
      <scheme val="minor"/>
    </font>
    <font>
      <sz val="8"/>
      <color rgb="FFC00000"/>
      <name val="等线"/>
      <family val="3"/>
      <charset val="134"/>
    </font>
    <font>
      <sz val="11"/>
      <name val="等线"/>
      <family val="3"/>
      <charset val="134"/>
    </font>
    <font>
      <b/>
      <sz val="14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color theme="1"/>
      <name val="等线"/>
      <family val="3"/>
      <charset val="134"/>
      <scheme val="minor"/>
    </font>
    <font>
      <b/>
      <sz val="10"/>
      <name val="等线"/>
      <family val="3"/>
      <charset val="134"/>
    </font>
    <font>
      <sz val="10"/>
      <name val="等线"/>
      <family val="3"/>
      <charset val="134"/>
    </font>
    <font>
      <sz val="10"/>
      <name val="等线"/>
      <family val="1"/>
      <scheme val="minor"/>
    </font>
    <font>
      <sz val="10"/>
      <name val="等线"/>
      <family val="3"/>
      <charset val="134"/>
    </font>
    <font>
      <sz val="10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11"/>
      <color theme="1"/>
      <name val="等线"/>
      <family val="3"/>
      <charset val="134"/>
    </font>
    <font>
      <sz val="8"/>
      <name val="宋体"/>
      <family val="3"/>
      <charset val="134"/>
    </font>
    <font>
      <sz val="8"/>
      <name val="等线"/>
      <family val="3"/>
      <charset val="134"/>
    </font>
    <font>
      <sz val="8"/>
      <name val="等线"/>
      <family val="3"/>
      <charset val="134"/>
    </font>
    <font>
      <sz val="8"/>
      <color rgb="FF0F1115"/>
      <name val="quote-cjk-patch"/>
    </font>
    <font>
      <sz val="8"/>
      <color theme="1"/>
      <name val="等线"/>
      <family val="3"/>
      <charset val="134"/>
    </font>
    <font>
      <sz val="8"/>
      <color indexed="8"/>
      <name val="宋体"/>
      <family val="3"/>
      <charset val="134"/>
    </font>
    <font>
      <sz val="8"/>
      <name val="等线"/>
      <family val="3"/>
      <charset val="134"/>
    </font>
    <font>
      <sz val="8"/>
      <name val="宋体"/>
      <family val="3"/>
      <charset val="134"/>
    </font>
    <font>
      <sz val="8"/>
      <name val="等线"/>
      <family val="3"/>
      <charset val="134"/>
    </font>
    <font>
      <sz val="8"/>
      <color rgb="FF000000"/>
      <name val="等线"/>
      <family val="3"/>
      <charset val="134"/>
      <scheme val="minor"/>
    </font>
    <font>
      <sz val="8"/>
      <color theme="1"/>
      <name val="SimSun"/>
      <charset val="134"/>
    </font>
    <font>
      <sz val="8"/>
      <color rgb="FF000000"/>
      <name val="SimSun"/>
      <charset val="134"/>
    </font>
    <font>
      <sz val="8"/>
      <name val="SimSun"/>
      <charset val="134"/>
    </font>
    <font>
      <sz val="8"/>
      <name val="等线"/>
      <family val="3"/>
      <charset val="134"/>
      <scheme val="minor"/>
    </font>
    <font>
      <sz val="8"/>
      <color rgb="FFC00000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1"/>
      <color indexed="8"/>
      <name val="Calibri"/>
      <family val="2"/>
    </font>
    <font>
      <sz val="11"/>
      <color rgb="FF006100"/>
      <name val="等线"/>
      <family val="3"/>
      <charset val="134"/>
      <scheme val="minor"/>
    </font>
    <font>
      <sz val="10"/>
      <color rgb="FF000000"/>
      <name val="等线"/>
      <family val="3"/>
      <charset val="134"/>
    </font>
    <font>
      <b/>
      <sz val="10"/>
      <color rgb="FF000000"/>
      <name val="等线"/>
      <family val="3"/>
      <charset val="134"/>
    </font>
    <font>
      <sz val="8"/>
      <name val="Calibri"/>
      <family val="2"/>
    </font>
    <font>
      <b/>
      <sz val="11"/>
      <name val="等线"/>
      <family val="3"/>
      <charset val="134"/>
    </font>
    <font>
      <sz val="9"/>
      <name val="等线"/>
      <family val="3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399853511154515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FFFF00"/>
        <bgColor indexed="64"/>
      </patternFill>
    </fill>
    <fill>
      <patternFill patternType="none"/>
    </fill>
    <fill>
      <patternFill patternType="none"/>
    </fill>
    <fill>
      <patternFill patternType="solid">
        <fgColor theme="4" tint="0.399853511154515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none">
        <fgColor auto="1"/>
        <bgColor auto="1"/>
      </patternFill>
    </fill>
    <fill>
      <patternFill patternType="solid">
        <fgColor theme="0" tint="-0.24994659260841701"/>
        <bgColor indexed="64"/>
      </patternFill>
    </fill>
    <fill>
      <patternFill patternType="none">
        <fgColor auto="1"/>
        <bgColor auto="1"/>
      </patternFill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>
        <fgColor auto="1"/>
        <bgColor auto="1"/>
      </patternFill>
    </fill>
    <fill>
      <patternFill patternType="none"/>
    </fill>
    <fill>
      <patternFill patternType="solid">
        <fgColor rgb="FFC6EFCE"/>
        <bgColor indexed="64"/>
      </patternFill>
    </fill>
  </fills>
  <borders count="61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/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4">
    <xf numFmtId="0" fontId="0" fillId="0" borderId="51"/>
    <xf numFmtId="0" fontId="78" fillId="9" borderId="51">
      <alignment vertical="center"/>
    </xf>
    <xf numFmtId="0" fontId="35" fillId="9" borderId="51">
      <alignment vertical="center"/>
    </xf>
    <xf numFmtId="0" fontId="79" fillId="24" borderId="51" applyNumberFormat="0" applyBorder="0" applyAlignment="0" applyProtection="0">
      <alignment vertical="center"/>
    </xf>
  </cellStyleXfs>
  <cellXfs count="491">
    <xf numFmtId="0" fontId="0" fillId="0" borderId="0" xfId="0" applyBorder="1" applyAlignment="1">
      <alignment vertical="center"/>
    </xf>
    <xf numFmtId="0" fontId="1" fillId="2" borderId="1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4" borderId="2" xfId="2" applyFont="1" applyFill="1" applyBorder="1" applyAlignment="1">
      <alignment horizontal="center" vertical="center"/>
    </xf>
    <xf numFmtId="0" fontId="1" fillId="5" borderId="2" xfId="2" applyFont="1" applyFill="1" applyBorder="1" applyAlignment="1">
      <alignment horizontal="center" vertical="center" wrapText="1"/>
    </xf>
    <xf numFmtId="0" fontId="1" fillId="2" borderId="3" xfId="2" applyFont="1" applyFill="1" applyBorder="1" applyAlignment="1">
      <alignment horizontal="center" vertical="center"/>
    </xf>
    <xf numFmtId="0" fontId="2" fillId="9" borderId="51" xfId="2" applyFont="1" applyAlignment="1">
      <alignment horizontal="center" vertical="center" wrapText="1"/>
    </xf>
    <xf numFmtId="0" fontId="1" fillId="6" borderId="51" xfId="2" applyFont="1" applyFill="1" applyAlignment="1">
      <alignment horizontal="center" vertical="center" wrapText="1"/>
    </xf>
    <xf numFmtId="0" fontId="3" fillId="9" borderId="51" xfId="2" applyFont="1" applyAlignment="1">
      <alignment horizontal="center" vertical="center"/>
    </xf>
    <xf numFmtId="0" fontId="1" fillId="6" borderId="4" xfId="2" applyFont="1" applyFill="1" applyBorder="1" applyAlignment="1">
      <alignment horizontal="center" vertical="center"/>
    </xf>
    <xf numFmtId="0" fontId="1" fillId="3" borderId="5" xfId="2" applyFont="1" applyFill="1" applyBorder="1" applyAlignment="1">
      <alignment horizontal="center" vertical="center"/>
    </xf>
    <xf numFmtId="0" fontId="1" fillId="4" borderId="5" xfId="2" applyFont="1" applyFill="1" applyBorder="1" applyAlignment="1">
      <alignment horizontal="center" vertical="center"/>
    </xf>
    <xf numFmtId="0" fontId="1" fillId="5" borderId="5" xfId="2" applyFont="1" applyFill="1" applyBorder="1" applyAlignment="1">
      <alignment horizontal="center" vertical="center" wrapText="1"/>
    </xf>
    <xf numFmtId="176" fontId="2" fillId="6" borderId="6" xfId="2" applyNumberFormat="1" applyFont="1" applyFill="1" applyBorder="1" applyAlignment="1">
      <alignment horizontal="center" vertical="center"/>
    </xf>
    <xf numFmtId="0" fontId="2" fillId="6" borderId="51" xfId="2" applyFont="1" applyFill="1" applyAlignment="1">
      <alignment horizontal="center" vertical="center" wrapText="1"/>
    </xf>
    <xf numFmtId="0" fontId="2" fillId="9" borderId="51" xfId="2" applyFont="1" applyAlignment="1">
      <alignment horizontal="center" vertical="center"/>
    </xf>
    <xf numFmtId="0" fontId="2" fillId="9" borderId="51" xfId="2" applyFont="1" applyAlignment="1">
      <alignment vertical="center" wrapText="1"/>
    </xf>
    <xf numFmtId="0" fontId="6" fillId="24" borderId="7" xfId="3" applyFont="1" applyBorder="1" applyAlignment="1">
      <alignment horizontal="center" vertical="center" wrapText="1"/>
    </xf>
    <xf numFmtId="0" fontId="6" fillId="6" borderId="7" xfId="3" applyFont="1" applyFill="1" applyBorder="1" applyAlignment="1">
      <alignment horizontal="center" vertical="center" wrapText="1"/>
    </xf>
    <xf numFmtId="0" fontId="7" fillId="9" borderId="7" xfId="2" applyFont="1" applyBorder="1" applyAlignment="1">
      <alignment vertical="center" wrapText="1"/>
    </xf>
    <xf numFmtId="0" fontId="6" fillId="6" borderId="7" xfId="3" applyFont="1" applyFill="1" applyBorder="1" applyAlignment="1">
      <alignment horizontal="left" vertical="center" wrapText="1"/>
    </xf>
    <xf numFmtId="0" fontId="8" fillId="7" borderId="7" xfId="2" applyFont="1" applyFill="1" applyBorder="1" applyAlignment="1">
      <alignment horizontal="center" vertical="top" wrapText="1" readingOrder="1"/>
    </xf>
    <xf numFmtId="0" fontId="8" fillId="7" borderId="7" xfId="2" applyFont="1" applyFill="1" applyBorder="1" applyAlignment="1">
      <alignment horizontal="center" vertical="top" wrapText="1"/>
    </xf>
    <xf numFmtId="0" fontId="9" fillId="7" borderId="7" xfId="2" applyFont="1" applyFill="1" applyBorder="1" applyAlignment="1">
      <alignment horizontal="center" vertical="top" wrapText="1"/>
    </xf>
    <xf numFmtId="0" fontId="10" fillId="7" borderId="7" xfId="2" applyFont="1" applyFill="1" applyBorder="1" applyAlignment="1">
      <alignment horizontal="center" vertical="top" wrapText="1"/>
    </xf>
    <xf numFmtId="0" fontId="9" fillId="7" borderId="7" xfId="2" applyFont="1" applyFill="1" applyBorder="1" applyAlignment="1">
      <alignment horizontal="center" vertical="top" wrapText="1" readingOrder="1"/>
    </xf>
    <xf numFmtId="0" fontId="11" fillId="7" borderId="7" xfId="2" applyFont="1" applyFill="1" applyBorder="1" applyAlignment="1">
      <alignment horizontal="center" vertical="top" wrapText="1" readingOrder="1"/>
    </xf>
    <xf numFmtId="0" fontId="7" fillId="8" borderId="9" xfId="0" applyFont="1" applyFill="1" applyBorder="1" applyAlignment="1">
      <alignment vertical="top" wrapText="1"/>
    </xf>
    <xf numFmtId="0" fontId="12" fillId="8" borderId="9" xfId="0" applyFont="1" applyFill="1" applyBorder="1" applyAlignment="1">
      <alignment vertical="top" wrapText="1"/>
    </xf>
    <xf numFmtId="0" fontId="13" fillId="0" borderId="7" xfId="0" applyFont="1" applyBorder="1" applyAlignment="1">
      <alignment vertical="top" wrapText="1"/>
    </xf>
    <xf numFmtId="0" fontId="0" fillId="0" borderId="10" xfId="0" applyBorder="1"/>
    <xf numFmtId="0" fontId="14" fillId="0" borderId="10" xfId="0" applyFont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16" fillId="0" borderId="10" xfId="0" applyFont="1" applyBorder="1" applyAlignment="1">
      <alignment vertical="top" wrapText="1"/>
    </xf>
    <xf numFmtId="0" fontId="0" fillId="0" borderId="10" xfId="0" applyBorder="1" applyAlignment="1">
      <alignment vertical="top"/>
    </xf>
    <xf numFmtId="0" fontId="16" fillId="0" borderId="10" xfId="0" applyFont="1" applyBorder="1" applyAlignment="1">
      <alignment horizontal="left" vertical="top" wrapText="1"/>
    </xf>
    <xf numFmtId="0" fontId="17" fillId="8" borderId="10" xfId="2" applyFont="1" applyFill="1" applyBorder="1" applyAlignment="1">
      <alignment vertical="top"/>
    </xf>
    <xf numFmtId="0" fontId="17" fillId="8" borderId="10" xfId="2" applyFont="1" applyFill="1" applyBorder="1" applyAlignment="1">
      <alignment horizontal="center" vertical="top"/>
    </xf>
    <xf numFmtId="0" fontId="17" fillId="8" borderId="10" xfId="2" applyFont="1" applyFill="1" applyBorder="1" applyAlignment="1">
      <alignment horizontal="left" vertical="top"/>
    </xf>
    <xf numFmtId="0" fontId="17" fillId="8" borderId="10" xfId="2" applyFont="1" applyFill="1" applyBorder="1" applyAlignment="1">
      <alignment vertical="top" wrapText="1"/>
    </xf>
    <xf numFmtId="0" fontId="16" fillId="0" borderId="10" xfId="0" applyFont="1" applyBorder="1"/>
    <xf numFmtId="0" fontId="18" fillId="10" borderId="11" xfId="2" applyFont="1" applyFill="1" applyBorder="1" applyAlignment="1">
      <alignment horizontal="center" vertical="center" wrapText="1"/>
    </xf>
    <xf numFmtId="0" fontId="18" fillId="11" borderId="12" xfId="2" applyFont="1" applyFill="1" applyBorder="1" applyAlignment="1">
      <alignment horizontal="center" vertical="center" wrapText="1"/>
    </xf>
    <xf numFmtId="0" fontId="18" fillId="12" borderId="12" xfId="2" applyFont="1" applyFill="1" applyBorder="1" applyAlignment="1">
      <alignment horizontal="center" vertical="center" wrapText="1"/>
    </xf>
    <xf numFmtId="0" fontId="18" fillId="13" borderId="12" xfId="2" applyFont="1" applyFill="1" applyBorder="1" applyAlignment="1">
      <alignment horizontal="center" vertical="center" wrapText="1"/>
    </xf>
    <xf numFmtId="0" fontId="18" fillId="10" borderId="13" xfId="2" applyFont="1" applyFill="1" applyBorder="1" applyAlignment="1">
      <alignment horizontal="center" vertical="center" wrapText="1"/>
    </xf>
    <xf numFmtId="0" fontId="15" fillId="9" borderId="51" xfId="2" applyFont="1" applyAlignment="1">
      <alignment horizontal="center" vertical="center" wrapText="1"/>
    </xf>
    <xf numFmtId="0" fontId="18" fillId="14" borderId="51" xfId="2" applyFont="1" applyFill="1" applyAlignment="1">
      <alignment horizontal="center" vertical="center" wrapText="1"/>
    </xf>
    <xf numFmtId="0" fontId="15" fillId="8" borderId="51" xfId="2" applyFont="1" applyFill="1" applyAlignment="1">
      <alignment vertical="center" wrapText="1"/>
    </xf>
    <xf numFmtId="0" fontId="18" fillId="14" borderId="14" xfId="2" applyFont="1" applyFill="1" applyBorder="1" applyAlignment="1">
      <alignment horizontal="center" vertical="center" wrapText="1"/>
    </xf>
    <xf numFmtId="0" fontId="18" fillId="11" borderId="15" xfId="2" applyFont="1" applyFill="1" applyBorder="1" applyAlignment="1">
      <alignment horizontal="center" vertical="center" wrapText="1"/>
    </xf>
    <xf numFmtId="0" fontId="18" fillId="12" borderId="15" xfId="2" applyFont="1" applyFill="1" applyBorder="1" applyAlignment="1">
      <alignment horizontal="center" vertical="center" wrapText="1"/>
    </xf>
    <xf numFmtId="0" fontId="18" fillId="13" borderId="15" xfId="2" applyFont="1" applyFill="1" applyBorder="1" applyAlignment="1">
      <alignment horizontal="center" vertical="center" wrapText="1"/>
    </xf>
    <xf numFmtId="176" fontId="15" fillId="14" borderId="16" xfId="2" applyNumberFormat="1" applyFont="1" applyFill="1" applyBorder="1" applyAlignment="1">
      <alignment horizontal="center" vertical="center" wrapText="1"/>
    </xf>
    <xf numFmtId="0" fontId="15" fillId="14" borderId="51" xfId="2" applyFont="1" applyFill="1" applyAlignment="1">
      <alignment horizontal="center" vertical="center" wrapText="1"/>
    </xf>
    <xf numFmtId="0" fontId="15" fillId="9" borderId="51" xfId="2" applyFont="1" applyAlignment="1">
      <alignment vertical="center" wrapText="1"/>
    </xf>
    <xf numFmtId="0" fontId="19" fillId="9" borderId="51" xfId="2" applyFont="1" applyAlignment="1">
      <alignment horizontal="center" vertical="center" wrapText="1"/>
    </xf>
    <xf numFmtId="0" fontId="22" fillId="24" borderId="10" xfId="3" applyFont="1" applyBorder="1" applyAlignment="1">
      <alignment horizontal="center" vertical="center" wrapText="1"/>
    </xf>
    <xf numFmtId="0" fontId="22" fillId="14" borderId="10" xfId="3" applyFont="1" applyFill="1" applyBorder="1" applyAlignment="1">
      <alignment horizontal="center" vertical="center" wrapText="1"/>
    </xf>
    <xf numFmtId="0" fontId="15" fillId="9" borderId="17" xfId="2" applyFont="1" applyBorder="1" applyAlignment="1">
      <alignment vertical="center" wrapText="1"/>
    </xf>
    <xf numFmtId="0" fontId="22" fillId="14" borderId="10" xfId="3" applyFont="1" applyFill="1" applyBorder="1" applyAlignment="1">
      <alignment horizontal="left" vertical="center" wrapText="1"/>
    </xf>
    <xf numFmtId="0" fontId="24" fillId="15" borderId="10" xfId="2" applyFont="1" applyFill="1" applyBorder="1" applyAlignment="1">
      <alignment horizontal="center" vertical="top" wrapText="1"/>
    </xf>
    <xf numFmtId="0" fontId="25" fillId="15" borderId="10" xfId="2" applyFont="1" applyFill="1" applyBorder="1" applyAlignment="1">
      <alignment horizontal="center" vertical="top" wrapText="1"/>
    </xf>
    <xf numFmtId="0" fontId="26" fillId="15" borderId="10" xfId="2" applyFont="1" applyFill="1" applyBorder="1" applyAlignment="1">
      <alignment horizontal="center" vertical="top" wrapText="1"/>
    </xf>
    <xf numFmtId="0" fontId="27" fillId="15" borderId="17" xfId="2" applyFont="1" applyFill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28" fillId="2" borderId="1" xfId="2" applyFont="1" applyFill="1" applyBorder="1" applyAlignment="1">
      <alignment horizontal="center" vertical="center"/>
    </xf>
    <xf numFmtId="0" fontId="28" fillId="3" borderId="2" xfId="2" applyFont="1" applyFill="1" applyBorder="1" applyAlignment="1">
      <alignment horizontal="center" vertical="center"/>
    </xf>
    <xf numFmtId="0" fontId="28" fillId="4" borderId="2" xfId="2" applyFont="1" applyFill="1" applyBorder="1" applyAlignment="1">
      <alignment horizontal="center" vertical="center"/>
    </xf>
    <xf numFmtId="0" fontId="28" fillId="5" borderId="2" xfId="2" applyFont="1" applyFill="1" applyBorder="1" applyAlignment="1">
      <alignment horizontal="center" vertical="center" wrapText="1"/>
    </xf>
    <xf numFmtId="0" fontId="28" fillId="6" borderId="51" xfId="2" applyFont="1" applyFill="1" applyAlignment="1">
      <alignment horizontal="center" vertical="center" wrapText="1"/>
    </xf>
    <xf numFmtId="0" fontId="29" fillId="9" borderId="51" xfId="2" applyFont="1" applyAlignment="1">
      <alignment horizontal="center" vertical="center"/>
    </xf>
    <xf numFmtId="0" fontId="35" fillId="9" borderId="51" xfId="2">
      <alignment vertical="center"/>
    </xf>
    <xf numFmtId="0" fontId="28" fillId="6" borderId="4" xfId="2" applyFont="1" applyFill="1" applyBorder="1" applyAlignment="1">
      <alignment horizontal="center" vertical="center"/>
    </xf>
    <xf numFmtId="0" fontId="28" fillId="3" borderId="5" xfId="2" applyFont="1" applyFill="1" applyBorder="1" applyAlignment="1">
      <alignment horizontal="center" vertical="center"/>
    </xf>
    <xf numFmtId="0" fontId="28" fillId="4" borderId="5" xfId="2" applyFont="1" applyFill="1" applyBorder="1" applyAlignment="1">
      <alignment horizontal="center" vertical="center"/>
    </xf>
    <xf numFmtId="0" fontId="28" fillId="5" borderId="5" xfId="2" applyFont="1" applyFill="1" applyBorder="1" applyAlignment="1">
      <alignment horizontal="center" vertical="center" wrapText="1"/>
    </xf>
    <xf numFmtId="0" fontId="35" fillId="6" borderId="51" xfId="2" applyFill="1" applyAlignment="1">
      <alignment horizontal="center" vertical="center" wrapText="1"/>
    </xf>
    <xf numFmtId="0" fontId="35" fillId="9" borderId="51" xfId="2" applyAlignment="1">
      <alignment horizontal="center" vertical="center"/>
    </xf>
    <xf numFmtId="0" fontId="35" fillId="9" borderId="51" xfId="2" applyAlignment="1">
      <alignment horizontal="center" vertical="center" wrapText="1"/>
    </xf>
    <xf numFmtId="0" fontId="30" fillId="24" borderId="19" xfId="3" applyFont="1" applyBorder="1" applyAlignment="1">
      <alignment vertical="center" wrapText="1"/>
    </xf>
    <xf numFmtId="0" fontId="30" fillId="6" borderId="19" xfId="3" applyFont="1" applyFill="1" applyBorder="1" applyAlignment="1">
      <alignment vertical="center" wrapText="1"/>
    </xf>
    <xf numFmtId="0" fontId="2" fillId="9" borderId="19" xfId="2" applyFont="1" applyBorder="1">
      <alignment vertical="center"/>
    </xf>
    <xf numFmtId="0" fontId="31" fillId="7" borderId="19" xfId="2" applyFont="1" applyFill="1" applyBorder="1" applyAlignment="1">
      <alignment vertical="center" wrapText="1"/>
    </xf>
    <xf numFmtId="0" fontId="32" fillId="7" borderId="19" xfId="2" applyFont="1" applyFill="1" applyBorder="1" applyAlignment="1">
      <alignment vertical="center" wrapText="1"/>
    </xf>
    <xf numFmtId="0" fontId="33" fillId="7" borderId="19" xfId="2" applyFont="1" applyFill="1" applyBorder="1" applyAlignment="1">
      <alignment vertical="center" wrapText="1"/>
    </xf>
    <xf numFmtId="0" fontId="34" fillId="7" borderId="19" xfId="2" applyFont="1" applyFill="1" applyBorder="1" applyAlignment="1">
      <alignment vertical="center" wrapText="1"/>
    </xf>
    <xf numFmtId="0" fontId="35" fillId="0" borderId="19" xfId="0" applyFont="1" applyBorder="1" applyAlignment="1">
      <alignment vertical="center"/>
    </xf>
    <xf numFmtId="0" fontId="36" fillId="0" borderId="7" xfId="0" applyFont="1" applyBorder="1" applyAlignment="1">
      <alignment horizontal="center" vertical="top" wrapText="1"/>
    </xf>
    <xf numFmtId="0" fontId="37" fillId="0" borderId="20" xfId="0" applyFont="1" applyBorder="1" applyAlignment="1">
      <alignment vertical="center"/>
    </xf>
    <xf numFmtId="0" fontId="37" fillId="0" borderId="20" xfId="0" applyFont="1" applyBorder="1" applyAlignment="1">
      <alignment vertical="center" wrapText="1"/>
    </xf>
    <xf numFmtId="0" fontId="38" fillId="0" borderId="20" xfId="0" applyFont="1" applyBorder="1" applyAlignment="1">
      <alignment vertical="center"/>
    </xf>
    <xf numFmtId="0" fontId="39" fillId="0" borderId="20" xfId="0" applyFont="1" applyBorder="1" applyAlignment="1">
      <alignment vertical="center" wrapText="1"/>
    </xf>
    <xf numFmtId="0" fontId="39" fillId="0" borderId="20" xfId="0" applyFont="1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40" fillId="0" borderId="21" xfId="0" applyFont="1" applyBorder="1" applyAlignment="1">
      <alignment horizontal="center" vertical="top" wrapText="1"/>
    </xf>
    <xf numFmtId="0" fontId="39" fillId="0" borderId="22" xfId="0" applyFont="1" applyBorder="1" applyAlignment="1">
      <alignment vertical="center"/>
    </xf>
    <xf numFmtId="0" fontId="39" fillId="0" borderId="22" xfId="0" applyFont="1" applyBorder="1" applyAlignment="1">
      <alignment vertical="center" wrapText="1"/>
    </xf>
    <xf numFmtId="0" fontId="37" fillId="0" borderId="22" xfId="0" applyFont="1" applyBorder="1" applyAlignment="1">
      <alignment vertical="center" wrapText="1"/>
    </xf>
    <xf numFmtId="0" fontId="37" fillId="0" borderId="22" xfId="0" applyFont="1" applyBorder="1" applyAlignment="1">
      <alignment vertical="center"/>
    </xf>
    <xf numFmtId="0" fontId="39" fillId="0" borderId="21" xfId="0" applyFont="1" applyBorder="1" applyAlignment="1">
      <alignment horizontal="center" vertical="center"/>
    </xf>
    <xf numFmtId="0" fontId="39" fillId="0" borderId="23" xfId="0" applyFont="1" applyBorder="1" applyAlignment="1">
      <alignment vertical="center"/>
    </xf>
    <xf numFmtId="0" fontId="39" fillId="0" borderId="23" xfId="0" applyFont="1" applyBorder="1" applyAlignment="1">
      <alignment vertical="center" wrapText="1"/>
    </xf>
    <xf numFmtId="0" fontId="37" fillId="0" borderId="21" xfId="0" applyFont="1" applyBorder="1" applyAlignment="1">
      <alignment vertical="center" wrapText="1"/>
    </xf>
    <xf numFmtId="0" fontId="37" fillId="0" borderId="2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39" fillId="16" borderId="22" xfId="0" applyFont="1" applyFill="1" applyBorder="1" applyAlignment="1">
      <alignment vertical="center" wrapText="1"/>
    </xf>
    <xf numFmtId="0" fontId="37" fillId="16" borderId="21" xfId="0" applyFont="1" applyFill="1" applyBorder="1" applyAlignment="1">
      <alignment horizontal="center" vertical="center" wrapText="1"/>
    </xf>
    <xf numFmtId="0" fontId="37" fillId="16" borderId="22" xfId="0" applyFont="1" applyFill="1" applyBorder="1" applyAlignment="1">
      <alignment vertical="center" wrapText="1"/>
    </xf>
    <xf numFmtId="0" fontId="42" fillId="16" borderId="22" xfId="0" applyFont="1" applyFill="1" applyBorder="1" applyAlignment="1">
      <alignment horizontal="center" vertical="center" wrapText="1"/>
    </xf>
    <xf numFmtId="0" fontId="36" fillId="0" borderId="21" xfId="0" applyFont="1" applyBorder="1" applyAlignment="1">
      <alignment horizontal="center" vertical="top" wrapText="1"/>
    </xf>
    <xf numFmtId="0" fontId="38" fillId="0" borderId="22" xfId="0" applyFont="1" applyBorder="1" applyAlignment="1">
      <alignment vertical="center"/>
    </xf>
    <xf numFmtId="0" fontId="17" fillId="0" borderId="24" xfId="0" applyFont="1" applyBorder="1" applyAlignment="1">
      <alignment vertical="center"/>
    </xf>
    <xf numFmtId="0" fontId="40" fillId="0" borderId="25" xfId="0" applyFont="1" applyBorder="1" applyAlignment="1">
      <alignment horizontal="center" vertical="top" wrapText="1"/>
    </xf>
    <xf numFmtId="0" fontId="39" fillId="0" borderId="26" xfId="0" applyFont="1" applyBorder="1" applyAlignment="1">
      <alignment vertical="center"/>
    </xf>
    <xf numFmtId="0" fontId="39" fillId="0" borderId="26" xfId="0" applyFont="1" applyBorder="1" applyAlignment="1">
      <alignment vertical="center" wrapText="1"/>
    </xf>
    <xf numFmtId="0" fontId="0" fillId="0" borderId="24" xfId="0" applyBorder="1" applyAlignment="1">
      <alignment vertical="center"/>
    </xf>
    <xf numFmtId="0" fontId="35" fillId="0" borderId="19" xfId="0" applyFont="1" applyBorder="1"/>
    <xf numFmtId="0" fontId="0" fillId="0" borderId="19" xfId="0" applyBorder="1"/>
    <xf numFmtId="0" fontId="40" fillId="0" borderId="22" xfId="0" applyFont="1" applyBorder="1" applyAlignment="1">
      <alignment vertical="top" wrapText="1"/>
    </xf>
    <xf numFmtId="0" fontId="40" fillId="0" borderId="22" xfId="0" applyFont="1" applyBorder="1" applyAlignment="1">
      <alignment horizontal="center" vertical="top" wrapText="1"/>
    </xf>
    <xf numFmtId="0" fontId="43" fillId="0" borderId="22" xfId="0" applyFont="1" applyBorder="1" applyAlignment="1">
      <alignment horizontal="center" vertical="top" wrapText="1"/>
    </xf>
    <xf numFmtId="0" fontId="39" fillId="0" borderId="23" xfId="0" applyFont="1" applyBorder="1" applyAlignment="1">
      <alignment horizontal="center" vertical="center"/>
    </xf>
    <xf numFmtId="0" fontId="40" fillId="0" borderId="21" xfId="0" applyFont="1" applyBorder="1" applyAlignment="1">
      <alignment vertical="top" wrapText="1"/>
    </xf>
    <xf numFmtId="0" fontId="44" fillId="0" borderId="7" xfId="0" applyFont="1" applyBorder="1" applyAlignment="1">
      <alignment horizontal="center" vertical="center" wrapText="1"/>
    </xf>
    <xf numFmtId="0" fontId="37" fillId="0" borderId="23" xfId="0" applyFont="1" applyBorder="1" applyAlignment="1">
      <alignment vertical="center"/>
    </xf>
    <xf numFmtId="0" fontId="37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/>
    </xf>
    <xf numFmtId="0" fontId="43" fillId="0" borderId="21" xfId="0" applyFont="1" applyBorder="1" applyAlignment="1">
      <alignment horizontal="center" vertical="top" wrapText="1"/>
    </xf>
    <xf numFmtId="0" fontId="43" fillId="0" borderId="20" xfId="0" applyFont="1" applyBorder="1" applyAlignment="1">
      <alignment vertical="top" wrapText="1"/>
    </xf>
    <xf numFmtId="0" fontId="43" fillId="0" borderId="20" xfId="0" applyFont="1" applyBorder="1" applyAlignment="1">
      <alignment horizontal="center" vertical="top" wrapText="1"/>
    </xf>
    <xf numFmtId="0" fontId="43" fillId="0" borderId="22" xfId="0" applyFont="1" applyBorder="1" applyAlignment="1">
      <alignment vertical="top" wrapText="1"/>
    </xf>
    <xf numFmtId="0" fontId="37" fillId="0" borderId="21" xfId="0" applyFont="1" applyBorder="1" applyAlignment="1">
      <alignment horizontal="center" vertical="center" wrapText="1"/>
    </xf>
    <xf numFmtId="0" fontId="38" fillId="0" borderId="22" xfId="0" applyFont="1" applyBorder="1" applyAlignment="1">
      <alignment vertical="center" wrapText="1"/>
    </xf>
    <xf numFmtId="0" fontId="39" fillId="0" borderId="21" xfId="0" applyFont="1" applyBorder="1" applyAlignment="1">
      <alignment horizontal="center" vertical="center" wrapText="1"/>
    </xf>
    <xf numFmtId="0" fontId="36" fillId="0" borderId="22" xfId="0" applyFont="1" applyBorder="1" applyAlignment="1">
      <alignment vertical="center" wrapText="1"/>
    </xf>
    <xf numFmtId="0" fontId="44" fillId="0" borderId="21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39" fillId="16" borderId="21" xfId="0" applyFont="1" applyFill="1" applyBorder="1" applyAlignment="1">
      <alignment horizontal="center" vertical="center" wrapText="1"/>
    </xf>
    <xf numFmtId="0" fontId="41" fillId="16" borderId="22" xfId="0" applyFont="1" applyFill="1" applyBorder="1" applyAlignment="1">
      <alignment horizontal="center" vertical="center" wrapText="1"/>
    </xf>
    <xf numFmtId="0" fontId="44" fillId="16" borderId="21" xfId="0" applyFont="1" applyFill="1" applyBorder="1" applyAlignment="1">
      <alignment horizontal="center" vertical="center" wrapText="1"/>
    </xf>
    <xf numFmtId="0" fontId="45" fillId="16" borderId="21" xfId="0" applyFont="1" applyFill="1" applyBorder="1" applyAlignment="1">
      <alignment horizontal="center" vertical="center" wrapText="1"/>
    </xf>
    <xf numFmtId="0" fontId="46" fillId="16" borderId="22" xfId="0" applyFont="1" applyFill="1" applyBorder="1" applyAlignment="1">
      <alignment horizontal="left" vertical="center" wrapText="1"/>
    </xf>
    <xf numFmtId="0" fontId="46" fillId="16" borderId="22" xfId="0" applyFont="1" applyFill="1" applyBorder="1" applyAlignment="1">
      <alignment vertical="center" wrapText="1"/>
    </xf>
    <xf numFmtId="0" fontId="45" fillId="16" borderId="22" xfId="0" applyFont="1" applyFill="1" applyBorder="1" applyAlignment="1">
      <alignment horizontal="center" vertical="center" wrapText="1"/>
    </xf>
    <xf numFmtId="0" fontId="47" fillId="16" borderId="22" xfId="0" applyFont="1" applyFill="1" applyBorder="1" applyAlignment="1">
      <alignment vertical="center" wrapText="1"/>
    </xf>
    <xf numFmtId="0" fontId="37" fillId="16" borderId="22" xfId="0" applyFont="1" applyFill="1" applyBorder="1" applyAlignment="1">
      <alignment vertical="center"/>
    </xf>
    <xf numFmtId="0" fontId="39" fillId="16" borderId="21" xfId="0" applyFont="1" applyFill="1" applyBorder="1" applyAlignment="1">
      <alignment horizontal="center" vertical="center"/>
    </xf>
    <xf numFmtId="0" fontId="39" fillId="16" borderId="22" xfId="0" applyFont="1" applyFill="1" applyBorder="1" applyAlignment="1">
      <alignment vertical="center"/>
    </xf>
    <xf numFmtId="0" fontId="48" fillId="0" borderId="21" xfId="0" applyFont="1" applyBorder="1" applyAlignment="1">
      <alignment horizontal="center" vertical="center"/>
    </xf>
    <xf numFmtId="0" fontId="48" fillId="0" borderId="22" xfId="0" applyFont="1" applyBorder="1" applyAlignment="1">
      <alignment vertical="center"/>
    </xf>
    <xf numFmtId="0" fontId="48" fillId="0" borderId="22" xfId="0" applyFont="1" applyBorder="1" applyAlignment="1">
      <alignment vertical="center" wrapText="1"/>
    </xf>
    <xf numFmtId="0" fontId="49" fillId="0" borderId="21" xfId="0" applyFont="1" applyBorder="1" applyAlignment="1">
      <alignment horizontal="center" vertical="center"/>
    </xf>
    <xf numFmtId="0" fontId="49" fillId="0" borderId="22" xfId="0" applyFont="1" applyBorder="1" applyAlignment="1">
      <alignment vertical="center"/>
    </xf>
    <xf numFmtId="0" fontId="49" fillId="0" borderId="22" xfId="0" applyFont="1" applyBorder="1" applyAlignment="1">
      <alignment vertical="center" wrapText="1"/>
    </xf>
    <xf numFmtId="0" fontId="50" fillId="0" borderId="22" xfId="0" applyFont="1" applyBorder="1" applyAlignment="1">
      <alignment vertical="center"/>
    </xf>
    <xf numFmtId="0" fontId="39" fillId="0" borderId="27" xfId="0" applyFont="1" applyBorder="1" applyAlignment="1">
      <alignment horizontal="center" vertical="center"/>
    </xf>
    <xf numFmtId="0" fontId="39" fillId="17" borderId="28" xfId="0" applyFont="1" applyFill="1" applyBorder="1" applyAlignment="1">
      <alignment vertical="center"/>
    </xf>
    <xf numFmtId="0" fontId="39" fillId="0" borderId="28" xfId="0" applyFont="1" applyBorder="1" applyAlignment="1">
      <alignment vertical="center" wrapText="1"/>
    </xf>
    <xf numFmtId="0" fontId="39" fillId="0" borderId="28" xfId="0" applyFont="1" applyBorder="1" applyAlignment="1">
      <alignment vertical="center"/>
    </xf>
    <xf numFmtId="0" fontId="39" fillId="0" borderId="29" xfId="0" applyFont="1" applyBorder="1" applyAlignment="1">
      <alignment vertical="center" wrapText="1"/>
    </xf>
    <xf numFmtId="0" fontId="39" fillId="0" borderId="29" xfId="0" applyFont="1" applyBorder="1" applyAlignment="1">
      <alignment vertical="center"/>
    </xf>
    <xf numFmtId="0" fontId="41" fillId="0" borderId="27" xfId="0" applyFont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 wrapText="1"/>
    </xf>
    <xf numFmtId="0" fontId="51" fillId="0" borderId="29" xfId="0" applyFont="1" applyBorder="1" applyAlignment="1">
      <alignment vertical="center" wrapText="1"/>
    </xf>
    <xf numFmtId="0" fontId="39" fillId="17" borderId="28" xfId="0" applyFont="1" applyFill="1" applyBorder="1" applyAlignment="1">
      <alignment vertical="center" wrapText="1"/>
    </xf>
    <xf numFmtId="0" fontId="40" fillId="0" borderId="27" xfId="0" applyFont="1" applyBorder="1" applyAlignment="1">
      <alignment horizontal="center" vertical="top" wrapText="1"/>
    </xf>
    <xf numFmtId="0" fontId="39" fillId="17" borderId="30" xfId="0" applyFont="1" applyFill="1" applyBorder="1" applyAlignment="1">
      <alignment vertical="center"/>
    </xf>
    <xf numFmtId="0" fontId="39" fillId="0" borderId="30" xfId="0" applyFont="1" applyBorder="1" applyAlignment="1">
      <alignment vertical="center" wrapText="1"/>
    </xf>
    <xf numFmtId="0" fontId="39" fillId="0" borderId="30" xfId="0" applyFont="1" applyBorder="1" applyAlignment="1">
      <alignment vertical="center"/>
    </xf>
    <xf numFmtId="0" fontId="39" fillId="0" borderId="27" xfId="0" applyFont="1" applyBorder="1" applyAlignment="1">
      <alignment vertical="center" wrapText="1"/>
    </xf>
    <xf numFmtId="0" fontId="39" fillId="17" borderId="31" xfId="0" applyFont="1" applyFill="1" applyBorder="1" applyAlignment="1">
      <alignment vertical="center"/>
    </xf>
    <xf numFmtId="0" fontId="39" fillId="0" borderId="31" xfId="0" applyFont="1" applyBorder="1" applyAlignment="1">
      <alignment vertical="center" wrapText="1"/>
    </xf>
    <xf numFmtId="0" fontId="39" fillId="0" borderId="31" xfId="0" applyFont="1" applyBorder="1" applyAlignment="1">
      <alignment vertical="center"/>
    </xf>
    <xf numFmtId="0" fontId="40" fillId="17" borderId="28" xfId="0" applyFont="1" applyFill="1" applyBorder="1" applyAlignment="1">
      <alignment vertical="top" wrapText="1"/>
    </xf>
    <xf numFmtId="0" fontId="40" fillId="0" borderId="28" xfId="0" applyFont="1" applyBorder="1" applyAlignment="1">
      <alignment horizontal="center" vertical="top" wrapText="1"/>
    </xf>
    <xf numFmtId="0" fontId="43" fillId="0" borderId="27" xfId="0" applyFont="1" applyBorder="1" applyAlignment="1">
      <alignment horizontal="center" vertical="top" wrapText="1"/>
    </xf>
    <xf numFmtId="0" fontId="43" fillId="17" borderId="28" xfId="0" applyFont="1" applyFill="1" applyBorder="1" applyAlignment="1">
      <alignment vertical="top" wrapText="1"/>
    </xf>
    <xf numFmtId="0" fontId="43" fillId="0" borderId="28" xfId="0" applyFont="1" applyBorder="1" applyAlignment="1">
      <alignment horizontal="center" vertical="top" wrapText="1"/>
    </xf>
    <xf numFmtId="0" fontId="43" fillId="0" borderId="29" xfId="0" applyFont="1" applyBorder="1" applyAlignment="1">
      <alignment horizontal="center" vertical="top" wrapText="1"/>
    </xf>
    <xf numFmtId="0" fontId="39" fillId="0" borderId="0" xfId="0" applyFont="1" applyBorder="1" applyAlignment="1">
      <alignment horizontal="center" vertical="center"/>
    </xf>
    <xf numFmtId="0" fontId="39" fillId="17" borderId="0" xfId="0" applyFont="1" applyFill="1" applyBorder="1" applyAlignment="1">
      <alignment vertical="center"/>
    </xf>
    <xf numFmtId="0" fontId="39" fillId="0" borderId="0" xfId="0" applyFont="1" applyBorder="1" applyAlignment="1">
      <alignment vertical="center" wrapText="1"/>
    </xf>
    <xf numFmtId="0" fontId="39" fillId="0" borderId="0" xfId="0" applyFont="1" applyBorder="1" applyAlignment="1">
      <alignment vertical="center"/>
    </xf>
    <xf numFmtId="0" fontId="53" fillId="18" borderId="19" xfId="1" applyFont="1" applyFill="1" applyBorder="1" applyAlignment="1">
      <alignment horizontal="center" vertical="center"/>
    </xf>
    <xf numFmtId="0" fontId="78" fillId="9" borderId="19" xfId="1" applyBorder="1" applyAlignment="1">
      <alignment horizontal="center" vertical="center"/>
    </xf>
    <xf numFmtId="0" fontId="53" fillId="9" borderId="19" xfId="1" applyFont="1" applyBorder="1" applyAlignment="1">
      <alignment horizontal="center" vertical="center"/>
    </xf>
    <xf numFmtId="14" fontId="78" fillId="9" borderId="19" xfId="1" applyNumberFormat="1" applyBorder="1" applyAlignment="1">
      <alignment horizontal="center" vertical="center"/>
    </xf>
    <xf numFmtId="0" fontId="54" fillId="2" borderId="1" xfId="2" applyFont="1" applyFill="1" applyBorder="1" applyAlignment="1">
      <alignment horizontal="center" vertical="center"/>
    </xf>
    <xf numFmtId="0" fontId="54" fillId="3" borderId="2" xfId="2" applyFont="1" applyFill="1" applyBorder="1" applyAlignment="1">
      <alignment horizontal="center" vertical="center"/>
    </xf>
    <xf numFmtId="0" fontId="54" fillId="4" borderId="2" xfId="2" applyFont="1" applyFill="1" applyBorder="1" applyAlignment="1">
      <alignment horizontal="center" vertical="center"/>
    </xf>
    <xf numFmtId="0" fontId="54" fillId="5" borderId="2" xfId="2" applyFont="1" applyFill="1" applyBorder="1" applyAlignment="1">
      <alignment horizontal="center" vertical="center" wrapText="1"/>
    </xf>
    <xf numFmtId="0" fontId="54" fillId="2" borderId="3" xfId="2" applyFont="1" applyFill="1" applyBorder="1" applyAlignment="1">
      <alignment horizontal="center" vertical="center"/>
    </xf>
    <xf numFmtId="0" fontId="7" fillId="9" borderId="51" xfId="2" applyFont="1" applyAlignment="1">
      <alignment horizontal="center" vertical="center" wrapText="1"/>
    </xf>
    <xf numFmtId="0" fontId="54" fillId="6" borderId="51" xfId="2" applyFont="1" applyFill="1" applyAlignment="1">
      <alignment horizontal="center" vertical="center" wrapText="1"/>
    </xf>
    <xf numFmtId="0" fontId="12" fillId="9" borderId="32" xfId="2" applyFont="1" applyBorder="1">
      <alignment vertical="center"/>
    </xf>
    <xf numFmtId="0" fontId="54" fillId="6" borderId="4" xfId="2" applyFont="1" applyFill="1" applyBorder="1" applyAlignment="1">
      <alignment horizontal="center" vertical="center"/>
    </xf>
    <xf numFmtId="0" fontId="54" fillId="3" borderId="5" xfId="2" applyFont="1" applyFill="1" applyBorder="1" applyAlignment="1">
      <alignment horizontal="center" vertical="center"/>
    </xf>
    <xf numFmtId="0" fontId="54" fillId="4" borderId="5" xfId="2" applyFont="1" applyFill="1" applyBorder="1" applyAlignment="1">
      <alignment horizontal="center" vertical="center"/>
    </xf>
    <xf numFmtId="0" fontId="54" fillId="5" borderId="5" xfId="2" applyFont="1" applyFill="1" applyBorder="1" applyAlignment="1">
      <alignment horizontal="center" vertical="center" wrapText="1"/>
    </xf>
    <xf numFmtId="176" fontId="7" fillId="6" borderId="6" xfId="2" applyNumberFormat="1" applyFont="1" applyFill="1" applyBorder="1" applyAlignment="1">
      <alignment horizontal="center" vertical="center"/>
    </xf>
    <xf numFmtId="0" fontId="7" fillId="6" borderId="51" xfId="2" applyFont="1" applyFill="1" applyAlignment="1">
      <alignment horizontal="center" vertical="center" wrapText="1"/>
    </xf>
    <xf numFmtId="0" fontId="7" fillId="9" borderId="51" xfId="2" applyFont="1" applyAlignment="1">
      <alignment horizontal="center" vertical="center"/>
    </xf>
    <xf numFmtId="0" fontId="7" fillId="9" borderId="51" xfId="2" applyFont="1" applyAlignment="1">
      <alignment vertical="center" wrapText="1"/>
    </xf>
    <xf numFmtId="0" fontId="7" fillId="9" borderId="7" xfId="2" applyFont="1" applyBorder="1">
      <alignment vertical="center"/>
    </xf>
    <xf numFmtId="0" fontId="7" fillId="8" borderId="9" xfId="0" applyFont="1" applyFill="1" applyBorder="1"/>
    <xf numFmtId="0" fontId="7" fillId="8" borderId="9" xfId="0" applyFont="1" applyFill="1" applyBorder="1" applyAlignment="1">
      <alignment wrapText="1"/>
    </xf>
    <xf numFmtId="0" fontId="12" fillId="8" borderId="9" xfId="0" applyFont="1" applyFill="1" applyBorder="1"/>
    <xf numFmtId="0" fontId="13" fillId="0" borderId="7" xfId="0" applyFont="1" applyBorder="1" applyAlignment="1">
      <alignment wrapText="1"/>
    </xf>
    <xf numFmtId="0" fontId="12" fillId="9" borderId="32" xfId="0" applyFont="1" applyFill="1" applyBorder="1" applyAlignment="1">
      <alignment vertical="center"/>
    </xf>
    <xf numFmtId="0" fontId="12" fillId="9" borderId="8" xfId="0" applyFont="1" applyFill="1" applyBorder="1"/>
    <xf numFmtId="0" fontId="56" fillId="0" borderId="10" xfId="0" applyFont="1" applyBorder="1"/>
    <xf numFmtId="0" fontId="56" fillId="0" borderId="10" xfId="0" applyFont="1" applyBorder="1" applyAlignment="1">
      <alignment wrapText="1"/>
    </xf>
    <xf numFmtId="0" fontId="57" fillId="19" borderId="9" xfId="0" applyFont="1" applyFill="1" applyBorder="1" applyAlignment="1">
      <alignment wrapText="1"/>
    </xf>
    <xf numFmtId="0" fontId="12" fillId="9" borderId="8" xfId="0" applyFont="1" applyFill="1" applyBorder="1" applyAlignment="1">
      <alignment wrapText="1"/>
    </xf>
    <xf numFmtId="0" fontId="15" fillId="8" borderId="10" xfId="0" applyFont="1" applyFill="1" applyBorder="1" applyAlignment="1">
      <alignment vertical="center"/>
    </xf>
    <xf numFmtId="0" fontId="12" fillId="9" borderId="10" xfId="0" applyFont="1" applyFill="1" applyBorder="1" applyAlignment="1">
      <alignment vertical="center"/>
    </xf>
    <xf numFmtId="0" fontId="12" fillId="9" borderId="10" xfId="0" applyFont="1" applyFill="1" applyBorder="1"/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29" fillId="9" borderId="7" xfId="2" applyFont="1" applyBorder="1" applyAlignment="1">
      <alignment horizontal="center" vertical="center" wrapText="1"/>
    </xf>
    <xf numFmtId="0" fontId="12" fillId="0" borderId="7" xfId="0" applyFont="1" applyBorder="1"/>
    <xf numFmtId="0" fontId="14" fillId="0" borderId="10" xfId="0" applyFont="1" applyBorder="1"/>
    <xf numFmtId="0" fontId="7" fillId="0" borderId="10" xfId="0" applyFont="1" applyBorder="1" applyAlignment="1">
      <alignment horizontal="left" vertical="top" wrapText="1"/>
    </xf>
    <xf numFmtId="0" fontId="8" fillId="9" borderId="36" xfId="2" applyFont="1" applyBorder="1" applyAlignment="1">
      <alignment horizontal="center" vertical="center" wrapText="1" readingOrder="1"/>
    </xf>
    <xf numFmtId="0" fontId="7" fillId="0" borderId="37" xfId="0" applyFont="1" applyBorder="1" applyAlignment="1">
      <alignment vertical="center"/>
    </xf>
    <xf numFmtId="0" fontId="7" fillId="0" borderId="38" xfId="0" applyFont="1" applyBorder="1" applyAlignment="1">
      <alignment vertical="center"/>
    </xf>
    <xf numFmtId="0" fontId="7" fillId="0" borderId="38" xfId="0" applyFont="1" applyBorder="1" applyAlignment="1">
      <alignment vertical="center" wrapText="1"/>
    </xf>
    <xf numFmtId="0" fontId="29" fillId="9" borderId="38" xfId="2" applyFont="1" applyBorder="1" applyAlignment="1">
      <alignment horizontal="center" vertical="center" wrapText="1"/>
    </xf>
    <xf numFmtId="0" fontId="14" fillId="0" borderId="38" xfId="0" applyFont="1" applyBorder="1"/>
    <xf numFmtId="0" fontId="14" fillId="0" borderId="10" xfId="0" applyFont="1" applyBorder="1" applyAlignment="1">
      <alignment wrapText="1"/>
    </xf>
    <xf numFmtId="0" fontId="14" fillId="8" borderId="10" xfId="0" applyFont="1" applyFill="1" applyBorder="1" applyAlignment="1">
      <alignment wrapText="1"/>
    </xf>
    <xf numFmtId="0" fontId="58" fillId="0" borderId="10" xfId="0" applyFont="1" applyBorder="1"/>
    <xf numFmtId="0" fontId="59" fillId="8" borderId="39" xfId="0" applyFont="1" applyFill="1" applyBorder="1" applyAlignment="1">
      <alignment vertical="top" wrapText="1"/>
    </xf>
    <xf numFmtId="0" fontId="58" fillId="0" borderId="10" xfId="0" applyFont="1" applyBorder="1" applyAlignment="1">
      <alignment wrapText="1"/>
    </xf>
    <xf numFmtId="0" fontId="54" fillId="2" borderId="1" xfId="2" applyFont="1" applyFill="1" applyBorder="1" applyAlignment="1">
      <alignment horizontal="center" vertical="center" wrapText="1"/>
    </xf>
    <xf numFmtId="0" fontId="54" fillId="3" borderId="2" xfId="2" applyFont="1" applyFill="1" applyBorder="1" applyAlignment="1">
      <alignment horizontal="center" vertical="center" wrapText="1"/>
    </xf>
    <xf numFmtId="0" fontId="54" fillId="4" borderId="2" xfId="2" applyFont="1" applyFill="1" applyBorder="1" applyAlignment="1">
      <alignment horizontal="center" vertical="center" wrapText="1"/>
    </xf>
    <xf numFmtId="0" fontId="54" fillId="2" borderId="3" xfId="2" applyFont="1" applyFill="1" applyBorder="1" applyAlignment="1">
      <alignment horizontal="center" vertical="center" wrapText="1"/>
    </xf>
    <xf numFmtId="0" fontId="12" fillId="9" borderId="32" xfId="2" applyFont="1" applyBorder="1" applyAlignment="1">
      <alignment vertical="center" wrapText="1"/>
    </xf>
    <xf numFmtId="0" fontId="54" fillId="6" borderId="4" xfId="2" applyFont="1" applyFill="1" applyBorder="1" applyAlignment="1">
      <alignment horizontal="center" vertical="center" wrapText="1"/>
    </xf>
    <xf numFmtId="0" fontId="54" fillId="3" borderId="5" xfId="2" applyFont="1" applyFill="1" applyBorder="1" applyAlignment="1">
      <alignment horizontal="center" vertical="center" wrapText="1"/>
    </xf>
    <xf numFmtId="0" fontId="54" fillId="4" borderId="5" xfId="2" applyFont="1" applyFill="1" applyBorder="1" applyAlignment="1">
      <alignment horizontal="center" vertical="center" wrapText="1"/>
    </xf>
    <xf numFmtId="176" fontId="7" fillId="6" borderId="6" xfId="2" applyNumberFormat="1" applyFont="1" applyFill="1" applyBorder="1" applyAlignment="1">
      <alignment horizontal="center" vertical="center" wrapText="1"/>
    </xf>
    <xf numFmtId="0" fontId="29" fillId="9" borderId="51" xfId="2" applyFont="1" applyAlignment="1">
      <alignment horizontal="center" vertical="center" wrapText="1"/>
    </xf>
    <xf numFmtId="0" fontId="7" fillId="9" borderId="40" xfId="2" applyFont="1" applyBorder="1" applyAlignment="1">
      <alignment vertical="center" wrapText="1"/>
    </xf>
    <xf numFmtId="0" fontId="11" fillId="7" borderId="40" xfId="2" applyFont="1" applyFill="1" applyBorder="1" applyAlignment="1">
      <alignment horizontal="center" vertical="top" wrapText="1" readingOrder="1"/>
    </xf>
    <xf numFmtId="0" fontId="60" fillId="9" borderId="39" xfId="0" applyFont="1" applyFill="1" applyBorder="1" applyAlignment="1">
      <alignment wrapText="1"/>
    </xf>
    <xf numFmtId="0" fontId="60" fillId="8" borderId="39" xfId="0" applyFont="1" applyFill="1" applyBorder="1" applyAlignment="1">
      <alignment wrapText="1"/>
    </xf>
    <xf numFmtId="0" fontId="17" fillId="8" borderId="39" xfId="0" applyFont="1" applyFill="1" applyBorder="1" applyAlignment="1">
      <alignment wrapText="1"/>
    </xf>
    <xf numFmtId="0" fontId="60" fillId="20" borderId="39" xfId="0" applyFont="1" applyFill="1" applyBorder="1" applyAlignment="1">
      <alignment wrapText="1"/>
    </xf>
    <xf numFmtId="0" fontId="12" fillId="20" borderId="42" xfId="0" applyFont="1" applyFill="1" applyBorder="1" applyAlignment="1">
      <alignment wrapText="1"/>
    </xf>
    <xf numFmtId="0" fontId="12" fillId="20" borderId="32" xfId="0" applyFont="1" applyFill="1" applyBorder="1" applyAlignment="1">
      <alignment vertical="center" wrapText="1"/>
    </xf>
    <xf numFmtId="0" fontId="35" fillId="8" borderId="9" xfId="0" applyFont="1" applyFill="1" applyBorder="1" applyAlignment="1">
      <alignment wrapText="1"/>
    </xf>
    <xf numFmtId="0" fontId="17" fillId="21" borderId="39" xfId="0" applyFont="1" applyFill="1" applyBorder="1" applyAlignment="1">
      <alignment wrapText="1"/>
    </xf>
    <xf numFmtId="0" fontId="14" fillId="21" borderId="17" xfId="0" applyFont="1" applyFill="1" applyBorder="1" applyAlignment="1">
      <alignment wrapText="1"/>
    </xf>
    <xf numFmtId="0" fontId="14" fillId="20" borderId="0" xfId="0" applyFont="1" applyFill="1" applyBorder="1" applyAlignment="1">
      <alignment wrapText="1"/>
    </xf>
    <xf numFmtId="0" fontId="61" fillId="8" borderId="39" xfId="0" applyFont="1" applyFill="1" applyBorder="1" applyAlignment="1">
      <alignment wrapText="1"/>
    </xf>
    <xf numFmtId="0" fontId="61" fillId="21" borderId="39" xfId="0" applyFont="1" applyFill="1" applyBorder="1" applyAlignment="1">
      <alignment wrapText="1"/>
    </xf>
    <xf numFmtId="0" fontId="61" fillId="8" borderId="44" xfId="0" applyFont="1" applyFill="1" applyBorder="1" applyAlignment="1">
      <alignment wrapText="1"/>
    </xf>
    <xf numFmtId="0" fontId="61" fillId="8" borderId="45" xfId="0" applyFont="1" applyFill="1" applyBorder="1" applyAlignment="1">
      <alignment wrapText="1"/>
    </xf>
    <xf numFmtId="0" fontId="62" fillId="19" borderId="45" xfId="0" applyFont="1" applyFill="1" applyBorder="1" applyAlignment="1">
      <alignment vertical="center" wrapText="1"/>
    </xf>
    <xf numFmtId="0" fontId="40" fillId="0" borderId="10" xfId="0" applyFont="1" applyBorder="1" applyAlignment="1">
      <alignment vertical="center" wrapText="1"/>
    </xf>
    <xf numFmtId="0" fontId="14" fillId="0" borderId="0" xfId="0" applyFont="1" applyBorder="1" applyAlignment="1">
      <alignment wrapText="1"/>
    </xf>
    <xf numFmtId="0" fontId="63" fillId="0" borderId="10" xfId="0" applyFont="1" applyBorder="1" applyAlignment="1">
      <alignment vertical="center" wrapText="1"/>
    </xf>
    <xf numFmtId="0" fontId="64" fillId="0" borderId="10" xfId="0" applyFont="1" applyBorder="1" applyAlignment="1">
      <alignment wrapText="1"/>
    </xf>
    <xf numFmtId="0" fontId="64" fillId="0" borderId="10" xfId="0" applyFont="1" applyBorder="1"/>
    <xf numFmtId="0" fontId="63" fillId="0" borderId="10" xfId="0" applyFont="1" applyBorder="1" applyAlignment="1">
      <alignment wrapText="1"/>
    </xf>
    <xf numFmtId="0" fontId="65" fillId="0" borderId="10" xfId="0" applyFont="1" applyBorder="1" applyAlignment="1">
      <alignment wrapText="1"/>
    </xf>
    <xf numFmtId="0" fontId="64" fillId="0" borderId="10" xfId="0" applyFont="1" applyBorder="1" applyAlignment="1">
      <alignment vertical="center" wrapText="1"/>
    </xf>
    <xf numFmtId="0" fontId="64" fillId="0" borderId="10" xfId="0" applyFont="1" applyBorder="1" applyAlignment="1">
      <alignment vertical="center"/>
    </xf>
    <xf numFmtId="0" fontId="1" fillId="2" borderId="51" xfId="2" applyFont="1" applyFill="1" applyAlignment="1">
      <alignment horizontal="center" vertical="center"/>
    </xf>
    <xf numFmtId="0" fontId="1" fillId="3" borderId="51" xfId="2" applyFont="1" applyFill="1" applyAlignment="1">
      <alignment horizontal="center" vertical="center"/>
    </xf>
    <xf numFmtId="0" fontId="1" fillId="4" borderId="51" xfId="2" applyFont="1" applyFill="1" applyAlignment="1">
      <alignment horizontal="left" vertical="center"/>
    </xf>
    <xf numFmtId="0" fontId="1" fillId="5" borderId="51" xfId="2" applyFont="1" applyFill="1" applyAlignment="1">
      <alignment horizontal="center" vertical="center" wrapText="1"/>
    </xf>
    <xf numFmtId="0" fontId="1" fillId="6" borderId="51" xfId="2" applyFont="1" applyFill="1" applyAlignment="1">
      <alignment horizontal="center" vertical="center"/>
    </xf>
    <xf numFmtId="176" fontId="2" fillId="6" borderId="51" xfId="2" applyNumberFormat="1" applyFont="1" applyFill="1" applyAlignment="1">
      <alignment horizontal="center" vertical="center"/>
    </xf>
    <xf numFmtId="0" fontId="30" fillId="24" borderId="19" xfId="3" applyFont="1" applyBorder="1" applyAlignment="1">
      <alignment horizontal="left" vertical="center" wrapText="1"/>
    </xf>
    <xf numFmtId="0" fontId="30" fillId="24" borderId="19" xfId="3" applyFont="1" applyBorder="1" applyAlignment="1">
      <alignment horizontal="center" vertical="center" wrapText="1"/>
    </xf>
    <xf numFmtId="0" fontId="30" fillId="6" borderId="19" xfId="3" applyFont="1" applyFill="1" applyBorder="1" applyAlignment="1">
      <alignment horizontal="center" vertical="center" wrapText="1"/>
    </xf>
    <xf numFmtId="0" fontId="2" fillId="9" borderId="19" xfId="2" applyFont="1" applyBorder="1" applyAlignment="1">
      <alignment vertical="center" wrapText="1"/>
    </xf>
    <xf numFmtId="0" fontId="30" fillId="6" borderId="19" xfId="3" applyFont="1" applyFill="1" applyBorder="1" applyAlignment="1">
      <alignment horizontal="left" vertical="center" wrapText="1"/>
    </xf>
    <xf numFmtId="0" fontId="31" fillId="7" borderId="19" xfId="2" applyFont="1" applyFill="1" applyBorder="1" applyAlignment="1">
      <alignment horizontal="center" vertical="top" wrapText="1"/>
    </xf>
    <xf numFmtId="0" fontId="31" fillId="7" borderId="19" xfId="2" applyFont="1" applyFill="1" applyBorder="1" applyAlignment="1">
      <alignment horizontal="left" vertical="top" wrapText="1"/>
    </xf>
    <xf numFmtId="0" fontId="32" fillId="7" borderId="19" xfId="2" applyFont="1" applyFill="1" applyBorder="1" applyAlignment="1">
      <alignment horizontal="center" vertical="top" wrapText="1"/>
    </xf>
    <xf numFmtId="0" fontId="34" fillId="7" borderId="19" xfId="2" applyFont="1" applyFill="1" applyBorder="1" applyAlignment="1">
      <alignment horizontal="center" vertical="top" wrapText="1"/>
    </xf>
    <xf numFmtId="0" fontId="42" fillId="9" borderId="19" xfId="2" applyFont="1" applyBorder="1" applyAlignment="1">
      <alignment horizontal="center" vertical="center" wrapText="1"/>
    </xf>
    <xf numFmtId="0" fontId="67" fillId="9" borderId="19" xfId="2" applyFont="1" applyBorder="1" applyAlignment="1">
      <alignment horizontal="left" vertical="top" wrapText="1"/>
    </xf>
    <xf numFmtId="0" fontId="67" fillId="9" borderId="19" xfId="2" applyFont="1" applyBorder="1" applyAlignment="1">
      <alignment horizontal="center" vertical="top" wrapText="1"/>
    </xf>
    <xf numFmtId="0" fontId="3" fillId="9" borderId="19" xfId="2" applyFont="1" applyBorder="1" applyAlignment="1">
      <alignment horizontal="center" vertical="center" wrapText="1"/>
    </xf>
    <xf numFmtId="0" fontId="37" fillId="0" borderId="19" xfId="0" applyFont="1" applyBorder="1" applyAlignment="1">
      <alignment vertical="center" wrapText="1"/>
    </xf>
    <xf numFmtId="0" fontId="68" fillId="9" borderId="32" xfId="2" applyFont="1" applyBorder="1" applyAlignment="1">
      <alignment vertical="center" wrapText="1"/>
    </xf>
    <xf numFmtId="0" fontId="34" fillId="9" borderId="19" xfId="2" applyFont="1" applyBorder="1" applyAlignment="1">
      <alignment horizontal="center" vertical="top" wrapText="1"/>
    </xf>
    <xf numFmtId="0" fontId="31" fillId="9" borderId="19" xfId="2" applyFont="1" applyBorder="1" applyAlignment="1">
      <alignment horizontal="left" vertical="top" wrapText="1"/>
    </xf>
    <xf numFmtId="0" fontId="31" fillId="9" borderId="19" xfId="2" applyFont="1" applyBorder="1" applyAlignment="1">
      <alignment horizontal="center" vertical="top" wrapText="1"/>
    </xf>
    <xf numFmtId="0" fontId="2" fillId="9" borderId="48" xfId="2" applyFont="1" applyBorder="1" applyAlignment="1">
      <alignment vertical="center" wrapText="1"/>
    </xf>
    <xf numFmtId="0" fontId="2" fillId="9" borderId="49" xfId="2" applyFont="1" applyBorder="1" applyAlignment="1">
      <alignment vertical="center" wrapText="1"/>
    </xf>
    <xf numFmtId="0" fontId="2" fillId="9" borderId="7" xfId="2" applyFont="1" applyBorder="1" applyAlignment="1">
      <alignment vertical="center" wrapText="1"/>
    </xf>
    <xf numFmtId="0" fontId="3" fillId="9" borderId="50" xfId="2" applyFont="1" applyBorder="1" applyAlignment="1">
      <alignment horizontal="center" vertical="center" wrapText="1"/>
    </xf>
    <xf numFmtId="0" fontId="67" fillId="9" borderId="24" xfId="2" applyFont="1" applyBorder="1" applyAlignment="1">
      <alignment horizontal="left" vertical="top" wrapText="1"/>
    </xf>
    <xf numFmtId="0" fontId="38" fillId="9" borderId="24" xfId="2" applyFont="1" applyBorder="1" applyAlignment="1">
      <alignment vertical="center" wrapText="1"/>
    </xf>
    <xf numFmtId="0" fontId="36" fillId="0" borderId="7" xfId="0" applyFont="1" applyBorder="1"/>
    <xf numFmtId="0" fontId="36" fillId="0" borderId="20" xfId="0" applyFont="1" applyBorder="1"/>
    <xf numFmtId="0" fontId="36" fillId="0" borderId="7" xfId="0" applyFont="1" applyBorder="1" applyAlignment="1">
      <alignment wrapText="1"/>
    </xf>
    <xf numFmtId="0" fontId="36" fillId="0" borderId="21" xfId="0" applyFont="1" applyBorder="1" applyAlignment="1">
      <alignment wrapText="1"/>
    </xf>
    <xf numFmtId="0" fontId="36" fillId="0" borderId="22" xfId="0" applyFont="1" applyBorder="1"/>
    <xf numFmtId="0" fontId="36" fillId="0" borderId="21" xfId="0" applyFont="1" applyBorder="1"/>
    <xf numFmtId="0" fontId="69" fillId="0" borderId="36" xfId="0" applyFont="1" applyBorder="1" applyAlignment="1">
      <alignment vertical="center" wrapText="1"/>
    </xf>
    <xf numFmtId="0" fontId="2" fillId="9" borderId="51" xfId="2" applyFont="1">
      <alignment vertical="center"/>
    </xf>
    <xf numFmtId="0" fontId="36" fillId="0" borderId="20" xfId="0" applyFont="1" applyBorder="1" applyAlignment="1">
      <alignment wrapText="1"/>
    </xf>
    <xf numFmtId="0" fontId="36" fillId="0" borderId="22" xfId="0" applyFont="1" applyBorder="1" applyAlignment="1">
      <alignment wrapText="1"/>
    </xf>
    <xf numFmtId="0" fontId="69" fillId="0" borderId="7" xfId="0" applyFont="1" applyBorder="1" applyAlignment="1">
      <alignment vertical="center" wrapText="1"/>
    </xf>
    <xf numFmtId="0" fontId="69" fillId="9" borderId="10" xfId="2" applyFont="1" applyBorder="1" applyAlignment="1">
      <alignment vertical="center" wrapText="1"/>
    </xf>
    <xf numFmtId="0" fontId="67" fillId="9" borderId="24" xfId="2" applyFont="1" applyBorder="1" applyAlignment="1">
      <alignment horizontal="center" vertical="top" wrapText="1"/>
    </xf>
    <xf numFmtId="0" fontId="31" fillId="9" borderId="24" xfId="2" applyFont="1" applyBorder="1" applyAlignment="1">
      <alignment horizontal="center" vertical="top" wrapText="1"/>
    </xf>
    <xf numFmtId="0" fontId="38" fillId="0" borderId="24" xfId="0" applyFont="1" applyBorder="1" applyAlignment="1">
      <alignment vertical="center" wrapText="1"/>
    </xf>
    <xf numFmtId="0" fontId="66" fillId="9" borderId="24" xfId="2" applyFont="1" applyBorder="1" applyAlignment="1">
      <alignment vertical="center" wrapText="1"/>
    </xf>
    <xf numFmtId="0" fontId="38" fillId="9" borderId="32" xfId="2" applyFont="1" applyBorder="1" applyAlignment="1">
      <alignment vertical="center" wrapText="1"/>
    </xf>
    <xf numFmtId="0" fontId="69" fillId="0" borderId="20" xfId="0" applyFont="1" applyBorder="1" applyAlignment="1">
      <alignment horizontal="center" vertical="center" wrapText="1"/>
    </xf>
    <xf numFmtId="0" fontId="36" fillId="0" borderId="20" xfId="0" applyFont="1" applyBorder="1" applyAlignment="1">
      <alignment vertical="center" wrapText="1"/>
    </xf>
    <xf numFmtId="0" fontId="69" fillId="0" borderId="21" xfId="0" applyFont="1" applyBorder="1" applyAlignment="1">
      <alignment vertical="center" wrapText="1"/>
    </xf>
    <xf numFmtId="0" fontId="69" fillId="0" borderId="22" xfId="0" applyFont="1" applyBorder="1" applyAlignment="1">
      <alignment vertical="center" wrapText="1"/>
    </xf>
    <xf numFmtId="0" fontId="69" fillId="0" borderId="21" xfId="0" applyFont="1" applyBorder="1" applyAlignment="1">
      <alignment wrapText="1"/>
    </xf>
    <xf numFmtId="0" fontId="69" fillId="0" borderId="22" xfId="0" applyFont="1" applyBorder="1"/>
    <xf numFmtId="0" fontId="69" fillId="9" borderId="36" xfId="2" applyFont="1" applyBorder="1" applyAlignment="1">
      <alignment vertical="center" wrapText="1"/>
    </xf>
    <xf numFmtId="0" fontId="66" fillId="9" borderId="36" xfId="2" applyFont="1" applyBorder="1">
      <alignment vertical="center"/>
    </xf>
    <xf numFmtId="0" fontId="37" fillId="9" borderId="19" xfId="2" applyFont="1" applyBorder="1" applyAlignment="1">
      <alignment horizontal="left" vertical="center" wrapText="1"/>
    </xf>
    <xf numFmtId="0" fontId="37" fillId="9" borderId="19" xfId="2" applyFont="1" applyBorder="1" applyAlignment="1">
      <alignment vertical="center" wrapText="1"/>
    </xf>
    <xf numFmtId="0" fontId="70" fillId="22" borderId="10" xfId="0" applyFont="1" applyFill="1" applyBorder="1" applyAlignment="1">
      <alignment wrapText="1"/>
    </xf>
    <xf numFmtId="0" fontId="70" fillId="22" borderId="10" xfId="0" applyFont="1" applyFill="1" applyBorder="1" applyAlignment="1">
      <alignment horizontal="left" wrapText="1"/>
    </xf>
    <xf numFmtId="0" fontId="66" fillId="9" borderId="10" xfId="2" applyFont="1" applyBorder="1">
      <alignment vertical="center"/>
    </xf>
    <xf numFmtId="0" fontId="31" fillId="9" borderId="48" xfId="2" applyFont="1" applyBorder="1" applyAlignment="1">
      <alignment horizontal="center" vertical="top" wrapText="1"/>
    </xf>
    <xf numFmtId="0" fontId="66" fillId="9" borderId="33" xfId="2" applyFont="1" applyBorder="1" applyAlignment="1">
      <alignment horizontal="center" vertical="center"/>
    </xf>
    <xf numFmtId="0" fontId="66" fillId="9" borderId="33" xfId="2" applyFont="1" applyBorder="1" applyAlignment="1">
      <alignment horizontal="left" vertical="center"/>
    </xf>
    <xf numFmtId="0" fontId="66" fillId="9" borderId="33" xfId="2" applyFont="1" applyBorder="1" applyAlignment="1">
      <alignment vertical="center" wrapText="1"/>
    </xf>
    <xf numFmtId="0" fontId="66" fillId="9" borderId="33" xfId="2" applyFont="1" applyBorder="1">
      <alignment vertical="center"/>
    </xf>
    <xf numFmtId="0" fontId="68" fillId="9" borderId="33" xfId="2" applyFont="1" applyBorder="1" applyAlignment="1">
      <alignment vertical="center" wrapText="1"/>
    </xf>
    <xf numFmtId="0" fontId="3" fillId="9" borderId="48" xfId="2" applyFont="1" applyBorder="1" applyAlignment="1">
      <alignment horizontal="center" vertical="center" wrapText="1"/>
    </xf>
    <xf numFmtId="0" fontId="34" fillId="9" borderId="48" xfId="2" applyFont="1" applyBorder="1" applyAlignment="1">
      <alignment horizontal="center" vertical="top" wrapText="1"/>
    </xf>
    <xf numFmtId="0" fontId="31" fillId="9" borderId="7" xfId="2" applyFont="1" applyBorder="1" applyAlignment="1">
      <alignment horizontal="center" vertical="top" wrapText="1"/>
    </xf>
    <xf numFmtId="0" fontId="66" fillId="9" borderId="10" xfId="2" applyFont="1" applyBorder="1" applyAlignment="1">
      <alignment horizontal="center" vertical="center"/>
    </xf>
    <xf numFmtId="0" fontId="66" fillId="9" borderId="10" xfId="2" applyFont="1" applyBorder="1" applyAlignment="1">
      <alignment horizontal="left" vertical="center"/>
    </xf>
    <xf numFmtId="0" fontId="66" fillId="9" borderId="10" xfId="2" applyFont="1" applyBorder="1" applyAlignment="1">
      <alignment vertical="center" wrapText="1"/>
    </xf>
    <xf numFmtId="0" fontId="68" fillId="9" borderId="10" xfId="2" applyFont="1" applyBorder="1" applyAlignment="1">
      <alignment vertical="center" wrapText="1"/>
    </xf>
    <xf numFmtId="0" fontId="3" fillId="9" borderId="7" xfId="2" applyFont="1" applyBorder="1" applyAlignment="1">
      <alignment horizontal="center" vertical="center" wrapText="1"/>
    </xf>
    <xf numFmtId="0" fontId="34" fillId="9" borderId="7" xfId="2" applyFont="1" applyBorder="1" applyAlignment="1">
      <alignment horizontal="center" vertical="top" wrapText="1"/>
    </xf>
    <xf numFmtId="0" fontId="42" fillId="9" borderId="10" xfId="2" applyFont="1" applyBorder="1" applyAlignment="1">
      <alignment horizontal="center" vertical="center" wrapText="1"/>
    </xf>
    <xf numFmtId="0" fontId="37" fillId="9" borderId="7" xfId="2" applyFont="1" applyBorder="1" applyAlignment="1">
      <alignment horizontal="left" vertical="center"/>
    </xf>
    <xf numFmtId="0" fontId="37" fillId="9" borderId="7" xfId="2" applyFont="1" applyBorder="1" applyAlignment="1">
      <alignment vertical="center" wrapText="1"/>
    </xf>
    <xf numFmtId="0" fontId="42" fillId="9" borderId="7" xfId="2" applyFont="1" applyBorder="1" applyAlignment="1">
      <alignment horizontal="center" vertical="center" wrapText="1"/>
    </xf>
    <xf numFmtId="0" fontId="37" fillId="9" borderId="7" xfId="2" applyFont="1" applyBorder="1">
      <alignment vertical="center"/>
    </xf>
    <xf numFmtId="0" fontId="31" fillId="9" borderId="54" xfId="2" applyFont="1" applyBorder="1" applyAlignment="1">
      <alignment horizontal="center" vertical="top" wrapText="1"/>
    </xf>
    <xf numFmtId="0" fontId="42" fillId="9" borderId="54" xfId="2" applyFont="1" applyBorder="1" applyAlignment="1">
      <alignment horizontal="center" vertical="center" wrapText="1"/>
    </xf>
    <xf numFmtId="0" fontId="37" fillId="9" borderId="54" xfId="2" applyFont="1" applyBorder="1" applyAlignment="1">
      <alignment horizontal="left" vertical="center"/>
    </xf>
    <xf numFmtId="0" fontId="37" fillId="9" borderId="54" xfId="2" applyFont="1" applyBorder="1" applyAlignment="1">
      <alignment vertical="center" wrapText="1"/>
    </xf>
    <xf numFmtId="0" fontId="37" fillId="9" borderId="54" xfId="2" applyFont="1" applyBorder="1">
      <alignment vertical="center"/>
    </xf>
    <xf numFmtId="0" fontId="3" fillId="9" borderId="54" xfId="2" applyFont="1" applyBorder="1" applyAlignment="1">
      <alignment horizontal="center" vertical="center" wrapText="1"/>
    </xf>
    <xf numFmtId="0" fontId="34" fillId="9" borderId="54" xfId="2" applyFont="1" applyBorder="1" applyAlignment="1">
      <alignment horizontal="center" vertical="top" wrapText="1"/>
    </xf>
    <xf numFmtId="0" fontId="37" fillId="9" borderId="19" xfId="2" applyFont="1" applyBorder="1" applyAlignment="1">
      <alignment horizontal="center" vertical="center"/>
    </xf>
    <xf numFmtId="0" fontId="37" fillId="9" borderId="19" xfId="2" applyFont="1" applyBorder="1" applyAlignment="1">
      <alignment horizontal="left" vertical="center"/>
    </xf>
    <xf numFmtId="0" fontId="37" fillId="9" borderId="19" xfId="2" applyFont="1" applyBorder="1">
      <alignment vertical="center"/>
    </xf>
    <xf numFmtId="0" fontId="37" fillId="0" borderId="19" xfId="0" applyFont="1" applyBorder="1" applyAlignment="1">
      <alignment vertical="center"/>
    </xf>
    <xf numFmtId="0" fontId="49" fillId="9" borderId="19" xfId="2" applyFont="1" applyBorder="1" applyAlignment="1">
      <alignment horizontal="center" vertical="center"/>
    </xf>
    <xf numFmtId="0" fontId="49" fillId="9" borderId="19" xfId="2" applyFont="1" applyBorder="1" applyAlignment="1">
      <alignment horizontal="left" vertical="center"/>
    </xf>
    <xf numFmtId="0" fontId="49" fillId="9" borderId="19" xfId="2" applyFont="1" applyBorder="1" applyAlignment="1">
      <alignment vertical="center" wrapText="1"/>
    </xf>
    <xf numFmtId="0" fontId="49" fillId="9" borderId="19" xfId="2" applyFont="1" applyBorder="1">
      <alignment vertical="center"/>
    </xf>
    <xf numFmtId="0" fontId="49" fillId="0" borderId="19" xfId="0" applyFont="1" applyBorder="1" applyAlignment="1">
      <alignment vertical="center" wrapText="1"/>
    </xf>
    <xf numFmtId="0" fontId="2" fillId="0" borderId="19" xfId="0" applyFont="1" applyBorder="1" applyAlignment="1">
      <alignment vertical="center" wrapText="1"/>
    </xf>
    <xf numFmtId="0" fontId="66" fillId="9" borderId="19" xfId="2" applyFont="1" applyBorder="1">
      <alignment vertical="center"/>
    </xf>
    <xf numFmtId="0" fontId="60" fillId="9" borderId="39" xfId="0" applyFont="1" applyFill="1" applyBorder="1"/>
    <xf numFmtId="0" fontId="70" fillId="0" borderId="29" xfId="0" applyFont="1" applyBorder="1" applyAlignment="1">
      <alignment wrapText="1"/>
    </xf>
    <xf numFmtId="0" fontId="66" fillId="9" borderId="50" xfId="2" applyFont="1" applyBorder="1">
      <alignment vertical="center"/>
    </xf>
    <xf numFmtId="0" fontId="60" fillId="23" borderId="10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3" fillId="9" borderId="55" xfId="2" applyFont="1" applyBorder="1" applyAlignment="1">
      <alignment horizontal="center" vertical="center" wrapText="1"/>
    </xf>
    <xf numFmtId="0" fontId="2" fillId="9" borderId="50" xfId="2" applyFont="1" applyBorder="1" applyAlignment="1">
      <alignment vertical="center" wrapText="1"/>
    </xf>
    <xf numFmtId="0" fontId="66" fillId="9" borderId="32" xfId="2" applyFont="1" applyBorder="1" applyAlignment="1">
      <alignment vertical="center" wrapText="1"/>
    </xf>
    <xf numFmtId="0" fontId="60" fillId="9" borderId="10" xfId="0" applyFont="1" applyFill="1" applyBorder="1" applyAlignment="1">
      <alignment wrapText="1"/>
    </xf>
    <xf numFmtId="0" fontId="3" fillId="9" borderId="40" xfId="2" applyFont="1" applyBorder="1" applyAlignment="1">
      <alignment horizontal="center" vertical="center" wrapText="1"/>
    </xf>
    <xf numFmtId="0" fontId="60" fillId="9" borderId="8" xfId="2" applyFont="1" applyBorder="1" applyAlignment="1">
      <alignment wrapText="1"/>
    </xf>
    <xf numFmtId="0" fontId="60" fillId="9" borderId="43" xfId="2" applyFont="1" applyBorder="1" applyAlignment="1">
      <alignment wrapText="1"/>
    </xf>
    <xf numFmtId="0" fontId="60" fillId="9" borderId="43" xfId="2" applyFont="1" applyBorder="1" applyAlignment="1">
      <alignment vertical="top" wrapText="1"/>
    </xf>
    <xf numFmtId="0" fontId="35" fillId="9" borderId="33" xfId="2" applyBorder="1" applyAlignment="1">
      <alignment wrapText="1"/>
    </xf>
    <xf numFmtId="0" fontId="2" fillId="9" borderId="50" xfId="2" applyFont="1" applyBorder="1">
      <alignment vertical="center"/>
    </xf>
    <xf numFmtId="0" fontId="72" fillId="9" borderId="56" xfId="2" applyFont="1" applyBorder="1" applyAlignment="1">
      <alignment horizontal="center" vertical="center"/>
    </xf>
    <xf numFmtId="0" fontId="73" fillId="22" borderId="10" xfId="0" applyFont="1" applyFill="1" applyBorder="1" applyAlignment="1">
      <alignment vertical="center" wrapText="1"/>
    </xf>
    <xf numFmtId="0" fontId="73" fillId="9" borderId="10" xfId="2" applyFont="1" applyBorder="1" applyAlignment="1">
      <alignment vertical="center" wrapText="1"/>
    </xf>
    <xf numFmtId="0" fontId="73" fillId="9" borderId="8" xfId="2" applyFont="1" applyBorder="1" applyAlignment="1">
      <alignment wrapText="1"/>
    </xf>
    <xf numFmtId="0" fontId="73" fillId="9" borderId="10" xfId="2" applyFont="1" applyBorder="1">
      <alignment vertical="center"/>
    </xf>
    <xf numFmtId="0" fontId="3" fillId="9" borderId="57" xfId="2" applyFont="1" applyBorder="1" applyAlignment="1">
      <alignment horizontal="center" vertical="center" wrapText="1"/>
    </xf>
    <xf numFmtId="0" fontId="74" fillId="9" borderId="49" xfId="2" applyFont="1" applyBorder="1" applyAlignment="1">
      <alignment horizontal="center" vertical="center" wrapText="1"/>
    </xf>
    <xf numFmtId="0" fontId="71" fillId="0" borderId="7" xfId="0" applyFont="1" applyBorder="1" applyAlignment="1">
      <alignment vertical="center" wrapText="1"/>
    </xf>
    <xf numFmtId="0" fontId="71" fillId="9" borderId="7" xfId="2" applyFont="1" applyBorder="1" applyAlignment="1">
      <alignment vertical="center" wrapText="1"/>
    </xf>
    <xf numFmtId="0" fontId="71" fillId="0" borderId="7" xfId="0" applyFont="1" applyBorder="1" applyAlignment="1">
      <alignment horizontal="left" vertical="center" wrapText="1"/>
    </xf>
    <xf numFmtId="49" fontId="71" fillId="0" borderId="7" xfId="0" applyNumberFormat="1" applyFont="1" applyBorder="1" applyAlignment="1">
      <alignment horizontal="left" vertical="center"/>
    </xf>
    <xf numFmtId="0" fontId="75" fillId="9" borderId="49" xfId="2" applyFont="1" applyBorder="1" applyAlignment="1">
      <alignment horizontal="center" vertical="center"/>
    </xf>
    <xf numFmtId="0" fontId="71" fillId="9" borderId="7" xfId="2" applyFont="1" applyBorder="1">
      <alignment vertical="center"/>
    </xf>
    <xf numFmtId="0" fontId="76" fillId="9" borderId="19" xfId="2" applyFont="1" applyBorder="1">
      <alignment vertical="center"/>
    </xf>
    <xf numFmtId="0" fontId="71" fillId="9" borderId="7" xfId="2" applyFont="1" applyBorder="1" applyAlignment="1">
      <alignment horizontal="left" vertical="center"/>
    </xf>
    <xf numFmtId="0" fontId="71" fillId="9" borderId="19" xfId="2" applyFont="1" applyBorder="1">
      <alignment vertical="center"/>
    </xf>
    <xf numFmtId="0" fontId="71" fillId="9" borderId="19" xfId="2" applyFont="1" applyBorder="1" applyAlignment="1">
      <alignment horizontal="center" vertical="center"/>
    </xf>
    <xf numFmtId="0" fontId="71" fillId="9" borderId="54" xfId="2" applyFont="1" applyBorder="1" applyAlignment="1">
      <alignment horizontal="left" vertical="center"/>
    </xf>
    <xf numFmtId="0" fontId="71" fillId="9" borderId="54" xfId="2" applyFont="1" applyBorder="1" applyAlignment="1">
      <alignment vertical="center" wrapText="1"/>
    </xf>
    <xf numFmtId="0" fontId="71" fillId="0" borderId="60" xfId="0" applyFont="1" applyBorder="1" applyAlignment="1">
      <alignment vertical="top" wrapText="1"/>
    </xf>
    <xf numFmtId="0" fontId="77" fillId="0" borderId="60" xfId="0" applyFont="1" applyBorder="1" applyAlignment="1">
      <alignment vertical="top" wrapText="1"/>
    </xf>
    <xf numFmtId="0" fontId="75" fillId="9" borderId="54" xfId="2" applyFont="1" applyBorder="1">
      <alignment vertical="center"/>
    </xf>
    <xf numFmtId="0" fontId="75" fillId="9" borderId="54" xfId="2" applyFont="1" applyBorder="1" applyAlignment="1">
      <alignment vertical="center" wrapText="1"/>
    </xf>
    <xf numFmtId="0" fontId="37" fillId="9" borderId="48" xfId="2" applyFont="1" applyBorder="1" applyAlignment="1">
      <alignment horizontal="center" vertical="center"/>
    </xf>
    <xf numFmtId="0" fontId="37" fillId="9" borderId="48" xfId="2" applyFont="1" applyBorder="1" applyAlignment="1">
      <alignment horizontal="left" vertical="center"/>
    </xf>
    <xf numFmtId="0" fontId="37" fillId="9" borderId="48" xfId="2" applyFont="1" applyBorder="1" applyAlignment="1">
      <alignment vertical="center" wrapText="1"/>
    </xf>
    <xf numFmtId="0" fontId="37" fillId="9" borderId="48" xfId="2" applyFont="1" applyBorder="1">
      <alignment vertical="center"/>
    </xf>
    <xf numFmtId="0" fontId="37" fillId="0" borderId="48" xfId="0" applyFont="1" applyBorder="1" applyAlignment="1">
      <alignment vertical="center" wrapText="1"/>
    </xf>
    <xf numFmtId="0" fontId="2" fillId="9" borderId="49" xfId="2" applyFont="1" applyBorder="1">
      <alignment vertical="center"/>
    </xf>
    <xf numFmtId="0" fontId="67" fillId="9" borderId="7" xfId="2" applyFont="1" applyBorder="1" applyAlignment="1">
      <alignment horizontal="center" vertical="top" wrapText="1"/>
    </xf>
    <xf numFmtId="0" fontId="31" fillId="9" borderId="7" xfId="2" applyFont="1" applyBorder="1" applyAlignment="1">
      <alignment horizontal="left" vertical="top" wrapText="1"/>
    </xf>
    <xf numFmtId="0" fontId="31" fillId="9" borderId="54" xfId="2" applyFont="1" applyBorder="1" applyAlignment="1">
      <alignment horizontal="left" vertical="top" wrapText="1"/>
    </xf>
    <xf numFmtId="0" fontId="2" fillId="9" borderId="54" xfId="2" applyFont="1" applyBorder="1" applyAlignment="1">
      <alignment vertical="center" wrapText="1"/>
    </xf>
    <xf numFmtId="0" fontId="66" fillId="9" borderId="19" xfId="2" applyFont="1" applyBorder="1" applyAlignment="1">
      <alignment vertical="center" wrapText="1"/>
    </xf>
    <xf numFmtId="0" fontId="3" fillId="9" borderId="51" xfId="2" applyFont="1" applyAlignment="1">
      <alignment horizontal="center" vertical="center" wrapText="1"/>
    </xf>
    <xf numFmtId="0" fontId="78" fillId="9" borderId="51" xfId="1" applyAlignment="1">
      <alignment horizontal="center" vertical="center"/>
    </xf>
    <xf numFmtId="0" fontId="78" fillId="9" borderId="51" xfId="1">
      <alignment vertical="center"/>
    </xf>
    <xf numFmtId="0" fontId="66" fillId="9" borderId="32" xfId="2" applyFont="1" applyBorder="1">
      <alignment vertical="center"/>
    </xf>
    <xf numFmtId="0" fontId="66" fillId="9" borderId="32" xfId="2" applyFont="1" applyBorder="1" applyAlignment="1">
      <alignment horizontal="center" vertical="center"/>
    </xf>
    <xf numFmtId="0" fontId="66" fillId="9" borderId="32" xfId="2" applyFont="1" applyBorder="1" applyAlignment="1">
      <alignment horizontal="left" vertical="center"/>
    </xf>
    <xf numFmtId="0" fontId="2" fillId="9" borderId="51" xfId="0" applyFont="1" applyFill="1" applyAlignment="1">
      <alignment vertical="center"/>
    </xf>
    <xf numFmtId="0" fontId="66" fillId="9" borderId="32" xfId="0" applyFont="1" applyFill="1" applyBorder="1" applyAlignment="1">
      <alignment vertical="center"/>
    </xf>
    <xf numFmtId="0" fontId="14" fillId="0" borderId="0" xfId="0" applyFont="1" applyBorder="1"/>
    <xf numFmtId="0" fontId="66" fillId="20" borderId="32" xfId="0" applyFont="1" applyFill="1" applyBorder="1" applyAlignment="1">
      <alignment vertical="center"/>
    </xf>
    <xf numFmtId="0" fontId="0" fillId="20" borderId="0" xfId="0" applyFill="1" applyBorder="1"/>
    <xf numFmtId="0" fontId="35" fillId="9" borderId="51" xfId="0" applyFont="1" applyFill="1" applyAlignment="1">
      <alignment vertical="center"/>
    </xf>
    <xf numFmtId="0" fontId="23" fillId="9" borderId="36" xfId="2" applyFont="1" applyBorder="1">
      <alignment vertical="center"/>
    </xf>
    <xf numFmtId="0" fontId="12" fillId="8" borderId="8" xfId="0" applyFont="1" applyFill="1" applyBorder="1" applyAlignment="1">
      <alignment vertical="top" wrapText="1"/>
    </xf>
    <xf numFmtId="0" fontId="0" fillId="0" borderId="10" xfId="0" applyBorder="1"/>
    <xf numFmtId="0" fontId="15" fillId="9" borderId="10" xfId="0" applyFont="1" applyFill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wrapText="1"/>
    </xf>
    <xf numFmtId="0" fontId="2" fillId="0" borderId="7" xfId="0" applyFont="1" applyBorder="1"/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2" fillId="9" borderId="19" xfId="1" applyFont="1" applyBorder="1" applyAlignment="1">
      <alignment horizontal="center" vertical="center"/>
    </xf>
    <xf numFmtId="0" fontId="17" fillId="9" borderId="43" xfId="0" applyFont="1" applyFill="1" applyBorder="1" applyAlignment="1">
      <alignment vertical="center" wrapText="1"/>
    </xf>
    <xf numFmtId="0" fontId="0" fillId="0" borderId="53" xfId="0" applyBorder="1"/>
    <xf numFmtId="0" fontId="60" fillId="9" borderId="43" xfId="0" applyFont="1" applyFill="1" applyBorder="1" applyAlignment="1">
      <alignment vertical="center" wrapText="1"/>
    </xf>
    <xf numFmtId="0" fontId="0" fillId="0" borderId="27" xfId="0" applyBorder="1"/>
    <xf numFmtId="0" fontId="71" fillId="9" borderId="48" xfId="2" applyFont="1" applyBorder="1">
      <alignment vertical="center"/>
    </xf>
    <xf numFmtId="0" fontId="0" fillId="0" borderId="58" xfId="0" applyBorder="1"/>
    <xf numFmtId="0" fontId="0" fillId="0" borderId="59" xfId="0" applyBorder="1"/>
    <xf numFmtId="0" fontId="39" fillId="9" borderId="33" xfId="2" applyFont="1" applyBorder="1" applyAlignment="1">
      <alignment vertical="center" wrapText="1"/>
    </xf>
    <xf numFmtId="0" fontId="67" fillId="9" borderId="46" xfId="2" applyFont="1" applyBorder="1" applyAlignment="1">
      <alignment horizontal="center" vertical="center" wrapText="1"/>
    </xf>
    <xf numFmtId="0" fontId="0" fillId="0" borderId="47" xfId="0" applyBorder="1"/>
    <xf numFmtId="0" fontId="0" fillId="0" borderId="52" xfId="0" applyBorder="1"/>
    <xf numFmtId="0" fontId="66" fillId="9" borderId="46" xfId="2" applyFont="1" applyBorder="1" applyAlignment="1">
      <alignment vertical="center" wrapText="1"/>
    </xf>
    <xf numFmtId="0" fontId="0" fillId="0" borderId="36" xfId="0" applyBorder="1"/>
    <xf numFmtId="0" fontId="5" fillId="0" borderId="24" xfId="0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 wrapText="1"/>
    </xf>
    <xf numFmtId="0" fontId="66" fillId="0" borderId="24" xfId="0" applyFont="1" applyBorder="1" applyAlignment="1">
      <alignment wrapText="1"/>
    </xf>
    <xf numFmtId="0" fontId="2" fillId="0" borderId="19" xfId="0" applyFont="1" applyBorder="1" applyAlignment="1">
      <alignment wrapText="1"/>
    </xf>
    <xf numFmtId="0" fontId="5" fillId="0" borderId="24" xfId="0" applyFont="1" applyBorder="1" applyAlignment="1">
      <alignment horizontal="left" vertical="center" wrapText="1"/>
    </xf>
    <xf numFmtId="0" fontId="55" fillId="0" borderId="33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55" fillId="0" borderId="33" xfId="0" applyFont="1" applyBorder="1" applyAlignment="1">
      <alignment vertical="center"/>
    </xf>
    <xf numFmtId="0" fontId="55" fillId="0" borderId="33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7" fillId="0" borderId="7" xfId="0" applyFont="1" applyBorder="1"/>
    <xf numFmtId="0" fontId="17" fillId="8" borderId="41" xfId="0" applyFont="1" applyFill="1" applyBorder="1" applyAlignment="1">
      <alignment vertical="top" wrapText="1"/>
    </xf>
    <xf numFmtId="0" fontId="17" fillId="8" borderId="43" xfId="0" applyFont="1" applyFill="1" applyBorder="1" applyAlignment="1">
      <alignment vertical="center" wrapText="1"/>
    </xf>
    <xf numFmtId="0" fontId="63" fillId="0" borderId="10" xfId="0" applyFont="1" applyBorder="1" applyAlignment="1">
      <alignment vertical="center" wrapText="1"/>
    </xf>
    <xf numFmtId="0" fontId="5" fillId="8" borderId="7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7" fillId="19" borderId="7" xfId="0" applyFont="1" applyFill="1" applyBorder="1" applyAlignment="1">
      <alignment wrapText="1"/>
    </xf>
    <xf numFmtId="0" fontId="2" fillId="8" borderId="7" xfId="0" applyFont="1" applyFill="1" applyBorder="1"/>
    <xf numFmtId="0" fontId="2" fillId="0" borderId="19" xfId="0" applyFont="1" applyBorder="1" applyAlignment="1">
      <alignment vertical="center"/>
    </xf>
    <xf numFmtId="0" fontId="28" fillId="2" borderId="18" xfId="2" applyFont="1" applyFill="1" applyBorder="1" applyAlignment="1">
      <alignment horizontal="center" vertical="center"/>
    </xf>
    <xf numFmtId="0" fontId="28" fillId="2" borderId="51" xfId="2" applyFont="1" applyFill="1" applyAlignment="1">
      <alignment horizontal="center" vertical="center"/>
    </xf>
    <xf numFmtId="176" fontId="35" fillId="6" borderId="18" xfId="2" applyNumberFormat="1" applyFill="1" applyBorder="1" applyAlignment="1">
      <alignment horizontal="center" vertical="center"/>
    </xf>
    <xf numFmtId="176" fontId="35" fillId="6" borderId="51" xfId="2" applyNumberFormat="1" applyFill="1" applyAlignment="1">
      <alignment horizontal="center" vertical="center"/>
    </xf>
    <xf numFmtId="0" fontId="5" fillId="0" borderId="19" xfId="0" applyFont="1" applyBorder="1" applyAlignment="1">
      <alignment vertical="center" wrapText="1"/>
    </xf>
    <xf numFmtId="0" fontId="15" fillId="0" borderId="10" xfId="0" applyFont="1" applyBorder="1" applyAlignment="1">
      <alignment wrapText="1"/>
    </xf>
    <xf numFmtId="0" fontId="23" fillId="8" borderId="10" xfId="0" applyFont="1" applyFill="1" applyBorder="1"/>
    <xf numFmtId="0" fontId="20" fillId="0" borderId="10" xfId="0" applyFont="1" applyBorder="1" applyAlignment="1">
      <alignment horizontal="left" vertical="center" wrapText="1"/>
    </xf>
    <xf numFmtId="0" fontId="21" fillId="8" borderId="10" xfId="0" applyFont="1" applyFill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vertical="center" wrapText="1"/>
    </xf>
    <xf numFmtId="0" fontId="21" fillId="8" borderId="10" xfId="0" applyFont="1" applyFill="1" applyBorder="1" applyAlignment="1">
      <alignment vertical="center" wrapText="1"/>
    </xf>
  </cellXfs>
  <cellStyles count="4">
    <cellStyle name="常规" xfId="0" builtinId="0"/>
    <cellStyle name="常规 2" xfId="2" xr:uid="{00000000-0005-0000-0000-000029000000}"/>
    <cellStyle name="常规 6" xfId="1" xr:uid="{00000000-0005-0000-0000-00000F000000}"/>
    <cellStyle name="好" xfId="3" builtinId="26"/>
  </cellStyles>
  <dxfs count="38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70C0"/>
      </font>
    </dxf>
    <dxf>
      <font>
        <color rgb="FF0070C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70C0"/>
      </font>
    </dxf>
    <dxf>
      <font>
        <color rgb="FF0070C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70C0"/>
      </font>
    </dxf>
    <dxf>
      <font>
        <color rgb="FF00B05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70C0"/>
      </font>
    </dxf>
    <dxf>
      <font>
        <color rgb="FF0070C0"/>
      </font>
    </dxf>
    <dxf>
      <font>
        <color rgb="FF00B05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70C0"/>
      </font>
    </dxf>
    <dxf>
      <font>
        <color rgb="FF0070C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B050"/>
      </font>
    </dxf>
    <dxf>
      <font>
        <color rgb="FF00B050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70C0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workbookViewId="0"/>
  </sheetViews>
  <sheetFormatPr defaultColWidth="8.25" defaultRowHeight="15"/>
  <cols>
    <col min="1" max="1" width="8.25" style="420"/>
    <col min="2" max="3" width="13.25" style="420" customWidth="1"/>
    <col min="4" max="4" width="42.5" style="420" customWidth="1"/>
    <col min="5" max="26" width="8.25" style="421"/>
  </cols>
  <sheetData>
    <row r="1" spans="1:4" ht="18.75">
      <c r="A1" s="443" t="s">
        <v>246</v>
      </c>
      <c r="B1" s="443"/>
      <c r="C1" s="443"/>
      <c r="D1" s="443"/>
    </row>
    <row r="2" spans="1:4">
      <c r="A2" s="185" t="s">
        <v>247</v>
      </c>
      <c r="B2" s="185" t="s">
        <v>248</v>
      </c>
      <c r="C2" s="185" t="s">
        <v>249</v>
      </c>
      <c r="D2" s="185" t="s">
        <v>250</v>
      </c>
    </row>
    <row r="3" spans="1:4">
      <c r="A3" s="186"/>
      <c r="B3" s="187"/>
      <c r="C3" s="188"/>
      <c r="D3" s="187"/>
    </row>
    <row r="4" spans="1:4">
      <c r="A4" s="186"/>
      <c r="B4" s="187"/>
      <c r="C4" s="188"/>
      <c r="D4" s="186"/>
    </row>
    <row r="5" spans="1:4">
      <c r="A5" s="186"/>
      <c r="B5" s="186"/>
      <c r="C5" s="186"/>
      <c r="D5" s="186"/>
    </row>
    <row r="6" spans="1:4">
      <c r="A6" s="186"/>
      <c r="B6" s="186"/>
      <c r="C6" s="186"/>
      <c r="D6" s="186"/>
    </row>
    <row r="7" spans="1:4">
      <c r="A7" s="186"/>
      <c r="B7" s="186"/>
      <c r="C7" s="186"/>
      <c r="D7" s="186"/>
    </row>
    <row r="8" spans="1:4">
      <c r="A8" s="186"/>
      <c r="B8" s="186"/>
      <c r="C8" s="186"/>
      <c r="D8" s="186"/>
    </row>
  </sheetData>
  <mergeCells count="1">
    <mergeCell ref="A1:D1"/>
  </mergeCells>
  <phoneticPr fontId="8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68"/>
  <sheetViews>
    <sheetView zoomScale="130" zoomScaleNormal="130" workbookViewId="0">
      <pane ySplit="6" topLeftCell="A7" activePane="bottomLeft" state="frozen"/>
      <selection pane="bottomLeft"/>
    </sheetView>
  </sheetViews>
  <sheetFormatPr defaultColWidth="8.25" defaultRowHeight="14.25"/>
  <cols>
    <col min="1" max="1" width="12.75" style="422" customWidth="1"/>
    <col min="2" max="2" width="8.5" style="423" customWidth="1"/>
    <col min="3" max="3" width="16" style="424" customWidth="1"/>
    <col min="4" max="4" width="18.125" style="377" customWidth="1"/>
    <col min="5" max="5" width="11.75" style="422" customWidth="1"/>
    <col min="6" max="6" width="12.5" style="422" customWidth="1"/>
    <col min="7" max="7" width="33.375" style="377" customWidth="1"/>
    <col min="8" max="8" width="6.125" style="377" customWidth="1"/>
    <col min="9" max="9" width="5.375" style="422" customWidth="1"/>
    <col min="10" max="10" width="31.25" style="377" customWidth="1"/>
    <col min="11" max="11" width="9.375" style="309" customWidth="1"/>
    <col min="12" max="12" width="16.125" style="309" customWidth="1"/>
    <col min="13" max="14" width="8.25" style="309"/>
    <col min="15" max="15" width="8.25" style="309" customWidth="1"/>
    <col min="16" max="17" width="8.25" style="309"/>
    <col min="18" max="18" width="8.25" style="309" customWidth="1"/>
    <col min="19" max="19" width="8.25" style="309"/>
    <col min="20" max="20" width="8.25" style="309" customWidth="1"/>
    <col min="21" max="26" width="8.25" style="309"/>
  </cols>
  <sheetData>
    <row r="1" spans="1:12">
      <c r="A1" s="272" t="s">
        <v>0</v>
      </c>
      <c r="B1" s="273" t="s">
        <v>1</v>
      </c>
      <c r="C1" s="274" t="s">
        <v>2</v>
      </c>
      <c r="D1" s="275" t="s">
        <v>3</v>
      </c>
      <c r="E1" s="272" t="s">
        <v>4</v>
      </c>
      <c r="F1" s="15"/>
      <c r="G1" s="7"/>
      <c r="H1" s="7"/>
      <c r="I1" s="8"/>
      <c r="J1" s="6"/>
    </row>
    <row r="2" spans="1:12">
      <c r="A2" s="276">
        <f>COUNTA(B66:B960)</f>
        <v>6</v>
      </c>
      <c r="B2" s="273" t="e">
        <f>COUNTIF(#REF!,"Pass")</f>
        <v>#REF!</v>
      </c>
      <c r="C2" s="274" t="e">
        <f>COUNTIF(#REF!,"Fail")</f>
        <v>#REF!</v>
      </c>
      <c r="D2" s="275" t="e">
        <f>COUNTIF(#REF!,"Undef")</f>
        <v>#REF!</v>
      </c>
      <c r="E2" s="277" t="e">
        <f>B2/(B2+C2)</f>
        <v>#REF!</v>
      </c>
      <c r="F2" s="15"/>
      <c r="G2" s="14"/>
      <c r="H2" s="14"/>
      <c r="I2" s="8"/>
      <c r="J2" s="6"/>
    </row>
    <row r="3" spans="1:12">
      <c r="A3" s="15"/>
      <c r="D3" s="6"/>
      <c r="E3" s="15"/>
      <c r="F3" s="15"/>
      <c r="G3" s="14"/>
      <c r="H3" s="14"/>
      <c r="K3" s="8"/>
    </row>
    <row r="4" spans="1:12">
      <c r="A4" s="457"/>
      <c r="B4" s="457"/>
      <c r="C4" s="278" t="s">
        <v>5</v>
      </c>
      <c r="D4" s="458" t="s">
        <v>6</v>
      </c>
      <c r="E4" s="458"/>
      <c r="F4" s="279"/>
      <c r="G4" s="280"/>
      <c r="H4" s="280"/>
      <c r="I4" s="459"/>
      <c r="J4" s="459"/>
      <c r="K4" s="460"/>
      <c r="L4" s="281"/>
    </row>
    <row r="5" spans="1:12">
      <c r="A5" s="461"/>
      <c r="B5" s="461"/>
      <c r="C5" s="461"/>
      <c r="D5" s="461"/>
      <c r="E5" s="461"/>
      <c r="F5" s="279" t="s">
        <v>7</v>
      </c>
      <c r="G5" s="282"/>
      <c r="H5" s="282"/>
      <c r="I5" s="459"/>
      <c r="J5" s="459"/>
      <c r="K5" s="460"/>
      <c r="L5" s="281"/>
    </row>
    <row r="6" spans="1:12" ht="21">
      <c r="A6" s="283" t="s">
        <v>8</v>
      </c>
      <c r="B6" s="283" t="s">
        <v>9</v>
      </c>
      <c r="C6" s="284" t="s">
        <v>10</v>
      </c>
      <c r="D6" s="283" t="s">
        <v>11</v>
      </c>
      <c r="E6" s="283" t="s">
        <v>12</v>
      </c>
      <c r="F6" s="283" t="s">
        <v>13</v>
      </c>
      <c r="G6" s="283" t="s">
        <v>479</v>
      </c>
      <c r="H6" s="283" t="s">
        <v>14</v>
      </c>
      <c r="I6" s="283" t="s">
        <v>15</v>
      </c>
      <c r="J6" s="285" t="s">
        <v>666</v>
      </c>
      <c r="K6" s="285" t="s">
        <v>658</v>
      </c>
      <c r="L6" s="286" t="s">
        <v>16</v>
      </c>
    </row>
    <row r="7" spans="1:12" ht="33" customHeight="1">
      <c r="A7" s="452" t="s">
        <v>480</v>
      </c>
      <c r="B7" s="287" t="s">
        <v>181</v>
      </c>
      <c r="C7" s="288" t="s">
        <v>481</v>
      </c>
      <c r="D7" s="289" t="s">
        <v>482</v>
      </c>
      <c r="E7" s="290" t="s">
        <v>21</v>
      </c>
      <c r="F7" s="291" t="s">
        <v>483</v>
      </c>
      <c r="G7" s="281" t="s">
        <v>484</v>
      </c>
      <c r="H7" s="281"/>
      <c r="I7" s="281"/>
      <c r="J7" s="292" t="s">
        <v>485</v>
      </c>
      <c r="K7" s="290"/>
      <c r="L7" s="293"/>
    </row>
    <row r="8" spans="1:12" ht="21.75" customHeight="1">
      <c r="A8" s="453"/>
      <c r="B8" s="289"/>
      <c r="C8" s="294"/>
      <c r="D8" s="295"/>
      <c r="E8" s="295"/>
      <c r="F8" s="295"/>
      <c r="G8" s="281" t="s">
        <v>486</v>
      </c>
      <c r="H8" s="281"/>
      <c r="I8" s="281"/>
      <c r="J8" s="281" t="s">
        <v>487</v>
      </c>
      <c r="K8" s="290"/>
      <c r="L8" s="293"/>
    </row>
    <row r="9" spans="1:12" ht="33" customHeight="1">
      <c r="A9" s="453"/>
      <c r="B9" s="289"/>
      <c r="C9" s="294"/>
      <c r="D9" s="295"/>
      <c r="E9" s="295"/>
      <c r="F9" s="295"/>
      <c r="G9" s="281" t="s">
        <v>488</v>
      </c>
      <c r="H9" s="281"/>
      <c r="I9" s="281"/>
      <c r="J9" s="281" t="s">
        <v>489</v>
      </c>
      <c r="K9" s="290"/>
      <c r="L9" s="293"/>
    </row>
    <row r="10" spans="1:12" ht="21.75" customHeight="1">
      <c r="A10" s="453"/>
      <c r="B10" s="295"/>
      <c r="C10" s="294"/>
      <c r="D10" s="295"/>
      <c r="E10" s="295"/>
      <c r="F10" s="295"/>
      <c r="G10" s="281" t="s">
        <v>667</v>
      </c>
      <c r="H10" s="281"/>
      <c r="I10" s="281"/>
      <c r="J10" s="296" t="s">
        <v>490</v>
      </c>
      <c r="K10" s="290"/>
      <c r="L10" s="293"/>
    </row>
    <row r="11" spans="1:12">
      <c r="A11" s="453"/>
      <c r="B11" s="295"/>
      <c r="C11" s="294"/>
      <c r="D11" s="295"/>
      <c r="E11" s="295"/>
      <c r="F11" s="295"/>
      <c r="G11" s="281" t="s">
        <v>491</v>
      </c>
      <c r="H11" s="281"/>
      <c r="I11" s="297"/>
      <c r="J11" s="298" t="s">
        <v>492</v>
      </c>
      <c r="K11" s="299"/>
      <c r="L11" s="293"/>
    </row>
    <row r="12" spans="1:12" ht="22.15" customHeight="1">
      <c r="A12" s="453"/>
      <c r="B12" s="295"/>
      <c r="C12" s="294"/>
      <c r="D12" s="295"/>
      <c r="E12" s="295"/>
      <c r="F12" s="295"/>
      <c r="G12" s="281" t="s">
        <v>668</v>
      </c>
      <c r="H12" s="281"/>
      <c r="I12" s="297"/>
      <c r="J12" s="298" t="s">
        <v>493</v>
      </c>
      <c r="K12" s="299"/>
      <c r="L12" s="293"/>
    </row>
    <row r="13" spans="1:12" ht="39" customHeight="1">
      <c r="A13" s="453"/>
      <c r="B13" s="287"/>
      <c r="C13" s="300"/>
      <c r="D13" s="289"/>
      <c r="E13" s="290"/>
      <c r="F13" s="301"/>
      <c r="G13" s="302" t="s">
        <v>494</v>
      </c>
      <c r="H13" s="303"/>
      <c r="J13" s="304" t="s">
        <v>495</v>
      </c>
      <c r="K13" s="299"/>
      <c r="L13" s="293"/>
    </row>
    <row r="14" spans="1:12" ht="39" customHeight="1">
      <c r="A14" s="453"/>
      <c r="B14" s="287"/>
      <c r="C14" s="300"/>
      <c r="D14" s="289"/>
      <c r="E14" s="290"/>
      <c r="F14" s="301"/>
      <c r="G14" s="305" t="s">
        <v>496</v>
      </c>
      <c r="H14" s="306"/>
      <c r="J14" s="304" t="s">
        <v>497</v>
      </c>
      <c r="K14" s="299"/>
      <c r="L14" s="293"/>
    </row>
    <row r="15" spans="1:12" ht="39" customHeight="1">
      <c r="A15" s="453"/>
      <c r="B15" s="287"/>
      <c r="C15" s="300"/>
      <c r="D15" s="289"/>
      <c r="E15" s="290"/>
      <c r="F15" s="301"/>
      <c r="G15" s="307" t="s">
        <v>498</v>
      </c>
      <c r="H15" s="306"/>
      <c r="J15" s="304" t="s">
        <v>499</v>
      </c>
      <c r="K15" s="299"/>
      <c r="L15" s="293"/>
    </row>
    <row r="16" spans="1:12" ht="39" customHeight="1">
      <c r="A16" s="453"/>
      <c r="B16" s="287" t="s">
        <v>188</v>
      </c>
      <c r="C16" s="288" t="s">
        <v>500</v>
      </c>
      <c r="D16" s="289" t="s">
        <v>501</v>
      </c>
      <c r="E16" s="290" t="s">
        <v>21</v>
      </c>
      <c r="F16" s="291" t="s">
        <v>483</v>
      </c>
      <c r="G16" s="281" t="s">
        <v>484</v>
      </c>
      <c r="H16" s="281"/>
      <c r="I16" s="281"/>
      <c r="J16" s="292" t="s">
        <v>485</v>
      </c>
      <c r="K16" s="290"/>
      <c r="L16" s="293"/>
    </row>
    <row r="17" spans="1:12" ht="42.75" customHeight="1">
      <c r="A17" s="453"/>
      <c r="B17" s="295"/>
      <c r="C17" s="288"/>
      <c r="D17" s="289"/>
      <c r="E17" s="290"/>
      <c r="G17" s="281" t="s">
        <v>486</v>
      </c>
      <c r="H17" s="281"/>
      <c r="I17" s="281"/>
      <c r="J17" s="281" t="s">
        <v>487</v>
      </c>
      <c r="K17" s="290"/>
      <c r="L17" s="293"/>
    </row>
    <row r="18" spans="1:12" ht="57.75" customHeight="1">
      <c r="A18" s="453"/>
      <c r="B18" s="295"/>
      <c r="C18" s="288"/>
      <c r="D18" s="289"/>
      <c r="E18" s="290"/>
      <c r="F18" s="281"/>
      <c r="G18" s="281" t="s">
        <v>502</v>
      </c>
      <c r="H18" s="281"/>
      <c r="I18" s="281"/>
      <c r="J18" s="281" t="s">
        <v>503</v>
      </c>
      <c r="K18" s="290"/>
      <c r="L18" s="293"/>
    </row>
    <row r="19" spans="1:12" ht="21.75" customHeight="1">
      <c r="A19" s="453"/>
      <c r="B19" s="295"/>
      <c r="C19" s="294"/>
      <c r="D19" s="295"/>
      <c r="E19" s="295"/>
      <c r="F19" s="295"/>
      <c r="G19" s="281" t="s">
        <v>669</v>
      </c>
      <c r="H19" s="281"/>
      <c r="I19" s="281"/>
      <c r="J19" s="281" t="s">
        <v>490</v>
      </c>
      <c r="K19" s="290"/>
      <c r="L19" s="293"/>
    </row>
    <row r="20" spans="1:12">
      <c r="A20" s="453"/>
      <c r="B20" s="295"/>
      <c r="C20" s="294"/>
      <c r="D20" s="295"/>
      <c r="E20" s="295"/>
      <c r="F20" s="295"/>
      <c r="G20" s="281" t="s">
        <v>504</v>
      </c>
      <c r="H20" s="281"/>
      <c r="I20" s="281"/>
      <c r="J20" s="281" t="s">
        <v>492</v>
      </c>
      <c r="K20" s="290"/>
      <c r="L20" s="293"/>
    </row>
    <row r="21" spans="1:12" ht="21.75" customHeight="1">
      <c r="A21" s="453"/>
      <c r="B21" s="295"/>
      <c r="C21" s="294"/>
      <c r="D21" s="295"/>
      <c r="E21" s="295"/>
      <c r="F21" s="295"/>
      <c r="G21" s="281" t="s">
        <v>670</v>
      </c>
      <c r="H21" s="281"/>
      <c r="I21" s="281"/>
      <c r="J21" s="281" t="s">
        <v>493</v>
      </c>
      <c r="K21" s="290"/>
      <c r="L21" s="293"/>
    </row>
    <row r="22" spans="1:12" ht="43.5" customHeight="1">
      <c r="A22" s="453"/>
      <c r="B22" s="287"/>
      <c r="C22" s="308"/>
      <c r="D22" s="289"/>
      <c r="E22" s="295"/>
      <c r="F22" s="301"/>
      <c r="G22" s="302" t="s">
        <v>505</v>
      </c>
      <c r="H22" s="303"/>
      <c r="I22" s="309"/>
      <c r="J22" s="310" t="s">
        <v>506</v>
      </c>
      <c r="K22" s="290"/>
      <c r="L22" s="293"/>
    </row>
    <row r="23" spans="1:12" ht="21.75" customHeight="1">
      <c r="A23" s="453"/>
      <c r="B23" s="287"/>
      <c r="C23" s="308"/>
      <c r="D23" s="289"/>
      <c r="E23" s="295"/>
      <c r="F23" s="301"/>
      <c r="G23" s="305" t="s">
        <v>496</v>
      </c>
      <c r="H23" s="306"/>
      <c r="I23" s="309"/>
      <c r="J23" s="311" t="s">
        <v>497</v>
      </c>
      <c r="K23" s="290"/>
      <c r="L23" s="293"/>
    </row>
    <row r="24" spans="1:12" ht="21.75" customHeight="1">
      <c r="A24" s="454"/>
      <c r="B24" s="287"/>
      <c r="C24" s="308"/>
      <c r="D24" s="289"/>
      <c r="E24" s="295"/>
      <c r="F24" s="301"/>
      <c r="G24" s="307" t="s">
        <v>498</v>
      </c>
      <c r="H24" s="306"/>
      <c r="I24" s="309"/>
      <c r="J24" s="311" t="s">
        <v>499</v>
      </c>
      <c r="K24" s="290"/>
      <c r="L24" s="293"/>
    </row>
    <row r="25" spans="1:12" ht="33.75">
      <c r="A25" s="312" t="s">
        <v>507</v>
      </c>
      <c r="B25" s="287"/>
      <c r="C25" s="312" t="s">
        <v>507</v>
      </c>
      <c r="D25" s="289" t="s">
        <v>508</v>
      </c>
      <c r="E25" s="295"/>
      <c r="F25" s="291" t="s">
        <v>483</v>
      </c>
      <c r="G25" s="281" t="s">
        <v>509</v>
      </c>
      <c r="H25" s="281"/>
      <c r="I25" s="281"/>
      <c r="J25" s="292" t="s">
        <v>510</v>
      </c>
      <c r="K25" s="290"/>
      <c r="L25" s="293"/>
    </row>
    <row r="26" spans="1:12">
      <c r="A26" s="295"/>
      <c r="B26" s="287"/>
      <c r="C26" s="288"/>
      <c r="D26" s="289"/>
      <c r="E26" s="295"/>
      <c r="F26" s="291"/>
      <c r="G26" s="281" t="s">
        <v>511</v>
      </c>
      <c r="H26" s="281"/>
      <c r="I26" s="281"/>
      <c r="J26" s="281" t="s">
        <v>512</v>
      </c>
      <c r="K26" s="290"/>
      <c r="L26" s="293"/>
    </row>
    <row r="27" spans="1:12" ht="33.75">
      <c r="A27" s="288"/>
      <c r="B27" s="287"/>
      <c r="C27" s="313" t="s">
        <v>507</v>
      </c>
      <c r="D27" s="314" t="s">
        <v>508</v>
      </c>
      <c r="E27" s="315"/>
      <c r="F27" s="316" t="s">
        <v>483</v>
      </c>
      <c r="G27" s="317" t="s">
        <v>509</v>
      </c>
      <c r="H27" s="317"/>
      <c r="I27" s="317"/>
      <c r="J27" s="318" t="s">
        <v>510</v>
      </c>
      <c r="K27" s="290"/>
      <c r="L27" s="293"/>
    </row>
    <row r="28" spans="1:12">
      <c r="A28" s="288"/>
      <c r="B28" s="287"/>
      <c r="C28" s="300"/>
      <c r="D28" s="314"/>
      <c r="E28" s="315"/>
      <c r="F28" s="316"/>
      <c r="G28" s="317" t="s">
        <v>513</v>
      </c>
      <c r="H28" s="317"/>
      <c r="I28" s="317"/>
      <c r="J28" s="317" t="s">
        <v>512</v>
      </c>
      <c r="K28" s="290"/>
      <c r="L28" s="293"/>
    </row>
    <row r="29" spans="1:12" ht="33.75">
      <c r="A29" s="288" t="s">
        <v>514</v>
      </c>
      <c r="B29" s="287"/>
      <c r="C29" s="288" t="s">
        <v>514</v>
      </c>
      <c r="D29" s="312" t="s">
        <v>515</v>
      </c>
      <c r="E29" s="319" t="s">
        <v>21</v>
      </c>
      <c r="F29" s="320" t="s">
        <v>516</v>
      </c>
      <c r="G29" s="320" t="s">
        <v>517</v>
      </c>
      <c r="H29" s="320"/>
      <c r="J29" s="320" t="s">
        <v>518</v>
      </c>
      <c r="K29" s="290"/>
      <c r="L29" s="293"/>
    </row>
    <row r="30" spans="1:12" ht="22.5">
      <c r="A30" s="295"/>
      <c r="B30" s="287"/>
      <c r="C30" s="288"/>
      <c r="D30" s="321"/>
      <c r="E30" s="322"/>
      <c r="F30" s="136"/>
      <c r="G30" s="136" t="s">
        <v>519</v>
      </c>
      <c r="H30" s="136"/>
      <c r="J30" s="136" t="s">
        <v>520</v>
      </c>
      <c r="K30" s="290"/>
      <c r="L30" s="293"/>
    </row>
    <row r="31" spans="1:12">
      <c r="A31" s="295"/>
      <c r="B31" s="287"/>
      <c r="C31" s="288"/>
      <c r="D31" s="323"/>
      <c r="E31" s="324"/>
      <c r="F31" s="306"/>
      <c r="G31" s="306" t="s">
        <v>521</v>
      </c>
      <c r="H31" s="306"/>
      <c r="J31" s="311" t="s">
        <v>522</v>
      </c>
      <c r="K31" s="290"/>
      <c r="L31" s="293"/>
    </row>
    <row r="32" spans="1:12">
      <c r="A32" s="295"/>
      <c r="B32" s="287"/>
      <c r="C32" s="288"/>
      <c r="D32" s="323"/>
      <c r="E32" s="324"/>
      <c r="F32" s="306"/>
      <c r="G32" s="306" t="s">
        <v>523</v>
      </c>
      <c r="H32" s="306"/>
      <c r="J32" s="311" t="s">
        <v>524</v>
      </c>
      <c r="K32" s="290"/>
      <c r="L32" s="293"/>
    </row>
    <row r="33" spans="1:12" ht="32.25" customHeight="1">
      <c r="A33" s="288" t="s">
        <v>525</v>
      </c>
      <c r="B33" s="287"/>
      <c r="C33" s="288" t="s">
        <v>525</v>
      </c>
      <c r="D33" s="289" t="s">
        <v>526</v>
      </c>
      <c r="E33" s="295"/>
      <c r="F33" s="320" t="s">
        <v>516</v>
      </c>
      <c r="G33" s="281" t="s">
        <v>527</v>
      </c>
      <c r="H33" s="281"/>
      <c r="I33" s="297"/>
      <c r="J33" s="451" t="s">
        <v>528</v>
      </c>
      <c r="K33" s="299"/>
      <c r="L33" s="293"/>
    </row>
    <row r="34" spans="1:12" ht="21.75" customHeight="1">
      <c r="A34" s="295"/>
      <c r="B34" s="287"/>
      <c r="C34" s="288"/>
      <c r="D34" s="289"/>
      <c r="E34" s="295"/>
      <c r="F34" s="291"/>
      <c r="G34" s="281" t="s">
        <v>529</v>
      </c>
      <c r="H34" s="281"/>
      <c r="I34" s="297"/>
      <c r="J34" s="445"/>
      <c r="K34" s="299"/>
      <c r="L34" s="293"/>
    </row>
    <row r="35" spans="1:12">
      <c r="A35" s="295"/>
      <c r="B35" s="287"/>
      <c r="C35" s="288"/>
      <c r="D35" s="289"/>
      <c r="E35" s="295"/>
      <c r="F35" s="291"/>
      <c r="G35" s="281" t="s">
        <v>530</v>
      </c>
      <c r="H35" s="281"/>
      <c r="I35" s="297"/>
      <c r="J35" s="447"/>
      <c r="K35" s="299"/>
      <c r="L35" s="293"/>
    </row>
    <row r="36" spans="1:12" ht="21">
      <c r="A36" s="295"/>
      <c r="B36" s="287"/>
      <c r="C36" s="288"/>
      <c r="D36" s="289"/>
      <c r="E36" s="295"/>
      <c r="F36" s="291"/>
      <c r="G36" s="325" t="s">
        <v>531</v>
      </c>
      <c r="H36" s="325"/>
      <c r="I36" s="326"/>
      <c r="J36" s="313" t="s">
        <v>532</v>
      </c>
      <c r="K36" s="299"/>
      <c r="L36" s="293"/>
    </row>
    <row r="37" spans="1:12" ht="22.5">
      <c r="A37" s="295"/>
      <c r="B37" s="287"/>
      <c r="C37" s="288"/>
      <c r="D37" s="289"/>
      <c r="E37" s="295"/>
      <c r="F37" s="291"/>
      <c r="G37" s="136" t="s">
        <v>519</v>
      </c>
      <c r="H37" s="136"/>
      <c r="I37" s="309"/>
      <c r="J37" s="136" t="s">
        <v>533</v>
      </c>
      <c r="K37" s="290"/>
      <c r="L37" s="293"/>
    </row>
    <row r="38" spans="1:12">
      <c r="A38" s="295"/>
      <c r="B38" s="287"/>
      <c r="C38" s="288"/>
      <c r="D38" s="289"/>
      <c r="E38" s="295"/>
      <c r="F38" s="291"/>
      <c r="G38" s="306" t="s">
        <v>521</v>
      </c>
      <c r="H38" s="306"/>
      <c r="I38" s="309"/>
      <c r="J38" s="311" t="s">
        <v>522</v>
      </c>
      <c r="K38" s="290"/>
      <c r="L38" s="293"/>
    </row>
    <row r="39" spans="1:12">
      <c r="A39" s="295"/>
      <c r="B39" s="287"/>
      <c r="C39" s="288"/>
      <c r="D39" s="289"/>
      <c r="E39" s="295"/>
      <c r="F39" s="291"/>
      <c r="G39" s="306" t="s">
        <v>523</v>
      </c>
      <c r="H39" s="306"/>
      <c r="I39" s="309"/>
      <c r="J39" s="311" t="s">
        <v>524</v>
      </c>
      <c r="K39" s="290"/>
      <c r="L39" s="293"/>
    </row>
    <row r="40" spans="1:12">
      <c r="A40" s="295"/>
      <c r="B40" s="287" t="s">
        <v>229</v>
      </c>
      <c r="C40" s="327" t="s">
        <v>534</v>
      </c>
      <c r="D40" s="328" t="s">
        <v>535</v>
      </c>
      <c r="E40" s="287" t="s">
        <v>21</v>
      </c>
      <c r="F40" s="328" t="s">
        <v>536</v>
      </c>
      <c r="G40" s="328" t="s">
        <v>537</v>
      </c>
      <c r="H40" s="328"/>
      <c r="I40" s="328"/>
      <c r="J40" s="328" t="s">
        <v>538</v>
      </c>
      <c r="K40" s="290"/>
      <c r="L40" s="293"/>
    </row>
    <row r="41" spans="1:12" ht="22.5">
      <c r="A41" s="295"/>
      <c r="B41" s="329" t="s">
        <v>240</v>
      </c>
      <c r="C41" s="329" t="s">
        <v>539</v>
      </c>
      <c r="D41" s="329" t="s">
        <v>540</v>
      </c>
      <c r="E41" s="329" t="s">
        <v>21</v>
      </c>
      <c r="F41" s="329" t="s">
        <v>541</v>
      </c>
      <c r="G41" s="329" t="s">
        <v>542</v>
      </c>
      <c r="H41" s="330"/>
      <c r="I41" s="331"/>
      <c r="J41" s="329" t="s">
        <v>543</v>
      </c>
      <c r="K41" s="290"/>
      <c r="L41" s="293"/>
    </row>
    <row r="42" spans="1:12" ht="22.5">
      <c r="A42" s="332"/>
      <c r="B42" s="333"/>
      <c r="C42" s="334"/>
      <c r="D42" s="335"/>
      <c r="E42" s="336"/>
      <c r="F42" s="336"/>
      <c r="G42" s="335"/>
      <c r="H42" s="335"/>
      <c r="I42" s="336"/>
      <c r="J42" s="337" t="s">
        <v>544</v>
      </c>
      <c r="K42" s="338"/>
      <c r="L42" s="339"/>
    </row>
    <row r="43" spans="1:12" ht="22.5">
      <c r="A43" s="340"/>
      <c r="B43" s="341"/>
      <c r="C43" s="342"/>
      <c r="D43" s="343"/>
      <c r="E43" s="331"/>
      <c r="F43" s="331"/>
      <c r="G43" s="343"/>
      <c r="H43" s="343"/>
      <c r="I43" s="331"/>
      <c r="J43" s="344" t="s">
        <v>545</v>
      </c>
      <c r="K43" s="345"/>
      <c r="L43" s="346"/>
    </row>
    <row r="44" spans="1:12">
      <c r="A44" s="340"/>
      <c r="B44" s="347" t="s">
        <v>546</v>
      </c>
      <c r="C44" s="348" t="s">
        <v>547</v>
      </c>
      <c r="D44" s="349" t="s">
        <v>548</v>
      </c>
      <c r="E44" s="350" t="s">
        <v>21</v>
      </c>
      <c r="F44" s="351" t="s">
        <v>549</v>
      </c>
      <c r="G44" s="349" t="s">
        <v>550</v>
      </c>
      <c r="H44" s="349"/>
      <c r="I44" s="351"/>
      <c r="J44" s="349" t="s">
        <v>551</v>
      </c>
      <c r="K44" s="345"/>
      <c r="L44" s="346"/>
    </row>
    <row r="45" spans="1:12">
      <c r="A45" s="340"/>
      <c r="B45" s="350"/>
      <c r="C45" s="348"/>
      <c r="D45" s="349"/>
      <c r="E45" s="350"/>
      <c r="F45" s="351"/>
      <c r="G45" s="349" t="s">
        <v>552</v>
      </c>
      <c r="H45" s="349"/>
      <c r="I45" s="351"/>
      <c r="J45" s="349" t="s">
        <v>553</v>
      </c>
      <c r="K45" s="345"/>
      <c r="L45" s="346"/>
    </row>
    <row r="46" spans="1:12" ht="22.5">
      <c r="A46" s="352"/>
      <c r="B46" s="353" t="s">
        <v>546</v>
      </c>
      <c r="C46" s="354" t="s">
        <v>554</v>
      </c>
      <c r="D46" s="355" t="s">
        <v>555</v>
      </c>
      <c r="E46" s="353" t="s">
        <v>21</v>
      </c>
      <c r="F46" s="356" t="s">
        <v>556</v>
      </c>
      <c r="G46" s="355" t="s">
        <v>557</v>
      </c>
      <c r="H46" s="355"/>
      <c r="I46" s="356"/>
      <c r="J46" s="355" t="s">
        <v>558</v>
      </c>
      <c r="K46" s="357"/>
      <c r="L46" s="358"/>
    </row>
    <row r="47" spans="1:12">
      <c r="A47" s="295"/>
      <c r="B47" s="359"/>
      <c r="C47" s="360"/>
      <c r="D47" s="328"/>
      <c r="E47" s="361"/>
      <c r="F47" s="361"/>
      <c r="G47" s="328" t="s">
        <v>559</v>
      </c>
      <c r="H47" s="328"/>
      <c r="I47" s="361"/>
      <c r="J47" s="328" t="s">
        <v>560</v>
      </c>
      <c r="K47" s="290"/>
      <c r="L47" s="293"/>
    </row>
    <row r="48" spans="1:12">
      <c r="A48" s="295"/>
      <c r="B48" s="359"/>
      <c r="C48" s="360"/>
      <c r="D48" s="328"/>
      <c r="E48" s="361"/>
      <c r="F48" s="361"/>
      <c r="G48" s="328" t="s">
        <v>561</v>
      </c>
      <c r="H48" s="328"/>
      <c r="I48" s="361"/>
      <c r="J48" s="328" t="s">
        <v>562</v>
      </c>
      <c r="K48" s="290"/>
      <c r="L48" s="293"/>
    </row>
    <row r="49" spans="1:12" ht="33.75">
      <c r="A49" s="295"/>
      <c r="B49" s="287" t="s">
        <v>563</v>
      </c>
      <c r="C49" s="360" t="s">
        <v>564</v>
      </c>
      <c r="D49" s="328" t="s">
        <v>565</v>
      </c>
      <c r="E49" s="287" t="s">
        <v>21</v>
      </c>
      <c r="F49" s="291" t="s">
        <v>483</v>
      </c>
      <c r="G49" s="291" t="s">
        <v>557</v>
      </c>
      <c r="H49" s="291"/>
      <c r="I49" s="362"/>
      <c r="J49" s="291" t="s">
        <v>566</v>
      </c>
      <c r="K49" s="290"/>
      <c r="L49" s="293"/>
    </row>
    <row r="50" spans="1:12" ht="22.5">
      <c r="A50" s="295"/>
      <c r="B50" s="363"/>
      <c r="C50" s="364"/>
      <c r="D50" s="365"/>
      <c r="E50" s="366"/>
      <c r="F50" s="367"/>
      <c r="G50" s="368" t="s">
        <v>671</v>
      </c>
      <c r="H50" s="281"/>
      <c r="I50" s="281"/>
      <c r="J50" s="281" t="s">
        <v>490</v>
      </c>
      <c r="K50" s="290"/>
      <c r="L50" s="293"/>
    </row>
    <row r="51" spans="1:12" ht="22.5">
      <c r="A51" s="281"/>
      <c r="B51" s="363"/>
      <c r="C51" s="364"/>
      <c r="D51" s="365"/>
      <c r="E51" s="366"/>
      <c r="F51" s="367"/>
      <c r="G51" s="291" t="s">
        <v>567</v>
      </c>
      <c r="H51" s="291"/>
      <c r="I51" s="362"/>
      <c r="J51" s="291" t="s">
        <v>568</v>
      </c>
      <c r="K51" s="290"/>
      <c r="L51" s="82"/>
    </row>
    <row r="52" spans="1:12" ht="33.75">
      <c r="A52" s="281"/>
      <c r="B52" s="363"/>
      <c r="C52" s="364"/>
      <c r="D52" s="365"/>
      <c r="E52" s="366"/>
      <c r="F52" s="366"/>
      <c r="G52" s="328" t="s">
        <v>569</v>
      </c>
      <c r="H52" s="328"/>
      <c r="I52" s="361"/>
      <c r="J52" s="328" t="s">
        <v>570</v>
      </c>
      <c r="K52" s="290"/>
      <c r="L52" s="82"/>
    </row>
    <row r="53" spans="1:12" ht="22.5">
      <c r="A53" s="281"/>
      <c r="B53" s="363"/>
      <c r="C53" s="364"/>
      <c r="D53" s="365"/>
      <c r="E53" s="366"/>
      <c r="F53" s="366"/>
      <c r="G53" s="328" t="s">
        <v>571</v>
      </c>
      <c r="H53" s="328"/>
      <c r="I53" s="361"/>
      <c r="J53" s="328" t="s">
        <v>572</v>
      </c>
      <c r="K53" s="290"/>
      <c r="L53" s="82"/>
    </row>
    <row r="54" spans="1:12" ht="33.75">
      <c r="A54" s="281"/>
      <c r="B54" s="287" t="s">
        <v>573</v>
      </c>
      <c r="C54" s="360" t="s">
        <v>574</v>
      </c>
      <c r="D54" s="328" t="s">
        <v>575</v>
      </c>
      <c r="E54" s="287" t="s">
        <v>21</v>
      </c>
      <c r="F54" s="291" t="s">
        <v>483</v>
      </c>
      <c r="G54" s="291" t="s">
        <v>557</v>
      </c>
      <c r="H54" s="291"/>
      <c r="I54" s="362"/>
      <c r="J54" s="291" t="s">
        <v>566</v>
      </c>
      <c r="K54" s="290"/>
      <c r="L54" s="82"/>
    </row>
    <row r="55" spans="1:12" ht="22.5">
      <c r="A55" s="281"/>
      <c r="B55" s="363"/>
      <c r="E55" s="366"/>
      <c r="F55" s="367"/>
      <c r="G55" s="281" t="s">
        <v>671</v>
      </c>
      <c r="H55" s="281"/>
      <c r="I55" s="281"/>
      <c r="J55" s="281" t="s">
        <v>490</v>
      </c>
      <c r="K55" s="290"/>
      <c r="L55" s="82"/>
    </row>
    <row r="56" spans="1:12" ht="22.5">
      <c r="A56" s="281"/>
      <c r="B56" s="363"/>
      <c r="C56" s="364"/>
      <c r="D56" s="365"/>
      <c r="E56" s="366"/>
      <c r="F56" s="367"/>
      <c r="G56" s="291" t="s">
        <v>567</v>
      </c>
      <c r="H56" s="291"/>
      <c r="I56" s="362"/>
      <c r="J56" s="291" t="s">
        <v>568</v>
      </c>
      <c r="K56" s="290"/>
      <c r="L56" s="82"/>
    </row>
    <row r="57" spans="1:12" ht="22.5">
      <c r="A57" s="281"/>
      <c r="B57" s="363"/>
      <c r="C57" s="364"/>
      <c r="D57" s="365"/>
      <c r="E57" s="366"/>
      <c r="F57" s="366"/>
      <c r="G57" s="328" t="s">
        <v>576</v>
      </c>
      <c r="H57" s="328"/>
      <c r="I57" s="361"/>
      <c r="J57" s="328" t="s">
        <v>672</v>
      </c>
      <c r="K57" s="290"/>
      <c r="L57" s="82"/>
    </row>
    <row r="58" spans="1:12" ht="22.5">
      <c r="A58" s="281"/>
      <c r="B58" s="363"/>
      <c r="C58" s="364"/>
      <c r="D58" s="365"/>
      <c r="E58" s="366"/>
      <c r="F58" s="366"/>
      <c r="G58" s="328" t="s">
        <v>577</v>
      </c>
      <c r="H58" s="328"/>
      <c r="I58" s="361"/>
      <c r="J58" s="328" t="s">
        <v>578</v>
      </c>
      <c r="K58" s="290"/>
      <c r="L58" s="82"/>
    </row>
    <row r="59" spans="1:12" ht="33" customHeight="1">
      <c r="A59" s="455"/>
      <c r="B59" s="287" t="s">
        <v>573</v>
      </c>
      <c r="C59" s="360" t="s">
        <v>579</v>
      </c>
      <c r="D59" s="328" t="s">
        <v>580</v>
      </c>
      <c r="E59" s="287" t="s">
        <v>21</v>
      </c>
      <c r="F59" s="291" t="s">
        <v>483</v>
      </c>
      <c r="G59" s="328" t="s">
        <v>581</v>
      </c>
      <c r="H59" s="328"/>
      <c r="I59" s="361"/>
      <c r="J59" s="328" t="s">
        <v>582</v>
      </c>
      <c r="K59" s="290"/>
      <c r="L59" s="82"/>
    </row>
    <row r="60" spans="1:12" ht="33" customHeight="1">
      <c r="A60" s="453"/>
      <c r="B60" s="287" t="s">
        <v>583</v>
      </c>
      <c r="C60" s="360" t="s">
        <v>579</v>
      </c>
      <c r="D60" s="328" t="s">
        <v>584</v>
      </c>
      <c r="E60" s="287" t="s">
        <v>21</v>
      </c>
      <c r="F60" s="291" t="s">
        <v>483</v>
      </c>
      <c r="G60" s="291" t="s">
        <v>557</v>
      </c>
      <c r="H60" s="291"/>
      <c r="I60" s="362"/>
      <c r="J60" s="291" t="s">
        <v>487</v>
      </c>
      <c r="K60" s="290"/>
      <c r="L60" s="82"/>
    </row>
    <row r="61" spans="1:12">
      <c r="A61" s="453"/>
      <c r="B61" s="359"/>
      <c r="C61" s="360"/>
      <c r="D61" s="328"/>
      <c r="E61" s="361"/>
      <c r="F61" s="361"/>
      <c r="G61" s="291" t="s">
        <v>585</v>
      </c>
      <c r="H61" s="291"/>
      <c r="I61" s="362"/>
      <c r="J61" s="328" t="s">
        <v>586</v>
      </c>
      <c r="K61" s="290"/>
      <c r="L61" s="82"/>
    </row>
    <row r="62" spans="1:12" ht="21.75" customHeight="1">
      <c r="A62" s="453"/>
      <c r="B62" s="359"/>
      <c r="C62" s="360"/>
      <c r="D62" s="328"/>
      <c r="E62" s="361"/>
      <c r="F62" s="361"/>
      <c r="G62" s="291" t="s">
        <v>567</v>
      </c>
      <c r="H62" s="291"/>
      <c r="I62" s="362"/>
      <c r="J62" s="291" t="s">
        <v>587</v>
      </c>
      <c r="K62" s="290"/>
      <c r="L62" s="82"/>
    </row>
    <row r="63" spans="1:12">
      <c r="A63" s="453"/>
      <c r="B63" s="359"/>
      <c r="C63" s="360"/>
      <c r="D63" s="328"/>
      <c r="E63" s="361"/>
      <c r="F63" s="361"/>
      <c r="G63" s="328" t="s">
        <v>588</v>
      </c>
      <c r="H63" s="328"/>
      <c r="I63" s="361"/>
      <c r="J63" s="328" t="s">
        <v>589</v>
      </c>
      <c r="K63" s="290"/>
      <c r="L63" s="82"/>
    </row>
    <row r="64" spans="1:12" ht="21.75" customHeight="1">
      <c r="A64" s="456"/>
      <c r="B64" s="329" t="s">
        <v>590</v>
      </c>
      <c r="C64" s="329" t="s">
        <v>591</v>
      </c>
      <c r="D64" s="329" t="s">
        <v>592</v>
      </c>
      <c r="E64" s="329" t="s">
        <v>21</v>
      </c>
      <c r="F64" s="329" t="s">
        <v>136</v>
      </c>
      <c r="G64" s="329" t="s">
        <v>593</v>
      </c>
      <c r="H64" s="330"/>
      <c r="I64" s="331"/>
      <c r="J64" s="329" t="s">
        <v>594</v>
      </c>
      <c r="K64" s="338"/>
      <c r="L64" s="369"/>
    </row>
    <row r="65" spans="1:26" ht="21.75" customHeight="1">
      <c r="A65" s="456"/>
      <c r="B65" s="341"/>
      <c r="C65" s="342"/>
      <c r="D65" s="343"/>
      <c r="E65" s="331"/>
      <c r="F65" s="331"/>
      <c r="G65" s="343"/>
      <c r="H65" s="343"/>
      <c r="I65" s="331"/>
      <c r="J65" s="344" t="s">
        <v>595</v>
      </c>
      <c r="K65" s="338"/>
      <c r="L65" s="369"/>
    </row>
    <row r="66" spans="1:26" ht="91.5" customHeight="1">
      <c r="A66" s="444" t="s">
        <v>596</v>
      </c>
      <c r="B66" s="370" t="s">
        <v>597</v>
      </c>
      <c r="C66" s="248" t="s">
        <v>598</v>
      </c>
      <c r="D66" s="248" t="s">
        <v>599</v>
      </c>
      <c r="E66" s="370" t="s">
        <v>21</v>
      </c>
      <c r="F66" s="248" t="s">
        <v>600</v>
      </c>
      <c r="G66" s="248" t="s">
        <v>601</v>
      </c>
      <c r="H66" s="370"/>
      <c r="I66" s="331"/>
      <c r="J66" s="248" t="s">
        <v>602</v>
      </c>
      <c r="K66" s="371"/>
      <c r="L66" s="372"/>
    </row>
    <row r="67" spans="1:26" s="65" customFormat="1" ht="120" customHeight="1">
      <c r="A67" s="445"/>
      <c r="B67" s="373" t="s">
        <v>603</v>
      </c>
      <c r="C67" s="373" t="s">
        <v>604</v>
      </c>
      <c r="D67" s="373" t="s">
        <v>605</v>
      </c>
      <c r="E67" s="373" t="s">
        <v>21</v>
      </c>
      <c r="F67" s="373" t="s">
        <v>606</v>
      </c>
      <c r="G67" s="373" t="s">
        <v>607</v>
      </c>
      <c r="H67" s="373"/>
      <c r="I67" s="374"/>
      <c r="J67" s="373" t="s">
        <v>608</v>
      </c>
      <c r="K67" s="375"/>
      <c r="L67" s="376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</row>
    <row r="68" spans="1:26" s="65" customFormat="1" ht="120" customHeight="1">
      <c r="A68" s="445"/>
      <c r="B68" s="378" t="s">
        <v>609</v>
      </c>
      <c r="C68" s="378" t="s">
        <v>610</v>
      </c>
      <c r="D68" s="378" t="s">
        <v>605</v>
      </c>
      <c r="E68" s="378" t="s">
        <v>21</v>
      </c>
      <c r="F68" s="378" t="s">
        <v>606</v>
      </c>
      <c r="G68" s="378" t="s">
        <v>607</v>
      </c>
      <c r="H68" s="378"/>
      <c r="I68" s="374"/>
      <c r="J68" s="378" t="s">
        <v>611</v>
      </c>
      <c r="K68" s="375"/>
      <c r="L68" s="376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</row>
    <row r="69" spans="1:26" s="65" customFormat="1" ht="120" customHeight="1">
      <c r="A69" s="446" t="s">
        <v>612</v>
      </c>
      <c r="B69" s="248" t="s">
        <v>613</v>
      </c>
      <c r="C69" s="248" t="s">
        <v>673</v>
      </c>
      <c r="D69" s="248" t="s">
        <v>614</v>
      </c>
      <c r="E69" s="248" t="s">
        <v>21</v>
      </c>
      <c r="F69" s="248" t="s">
        <v>615</v>
      </c>
      <c r="G69" s="248" t="s">
        <v>616</v>
      </c>
      <c r="H69" s="248"/>
      <c r="I69" s="374"/>
      <c r="J69" s="248" t="s">
        <v>617</v>
      </c>
      <c r="K69" s="379"/>
      <c r="L69" s="376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</row>
    <row r="70" spans="1:26" s="65" customFormat="1" ht="120" customHeight="1">
      <c r="A70" s="445"/>
      <c r="B70" s="248" t="s">
        <v>618</v>
      </c>
      <c r="C70" s="248" t="s">
        <v>619</v>
      </c>
      <c r="D70" s="248" t="s">
        <v>620</v>
      </c>
      <c r="E70" s="248" t="s">
        <v>21</v>
      </c>
      <c r="F70" s="248" t="s">
        <v>621</v>
      </c>
      <c r="G70" s="248" t="s">
        <v>622</v>
      </c>
      <c r="H70" s="248"/>
      <c r="I70" s="374"/>
      <c r="J70" s="248" t="s">
        <v>623</v>
      </c>
      <c r="K70" s="379"/>
      <c r="L70" s="376"/>
      <c r="M70" s="377"/>
      <c r="N70" s="377"/>
      <c r="O70" s="377"/>
      <c r="P70" s="377"/>
      <c r="Q70" s="377"/>
      <c r="R70" s="377"/>
      <c r="S70" s="377"/>
      <c r="T70" s="377"/>
      <c r="U70" s="377"/>
      <c r="V70" s="377"/>
      <c r="W70" s="377"/>
      <c r="X70" s="377"/>
      <c r="Y70" s="377"/>
      <c r="Z70" s="377"/>
    </row>
    <row r="71" spans="1:26" ht="120" customHeight="1">
      <c r="A71" s="447"/>
      <c r="B71" s="380" t="s">
        <v>624</v>
      </c>
      <c r="C71" s="381" t="s">
        <v>625</v>
      </c>
      <c r="D71" s="381" t="s">
        <v>620</v>
      </c>
      <c r="E71" s="381" t="s">
        <v>21</v>
      </c>
      <c r="F71" s="381" t="s">
        <v>621</v>
      </c>
      <c r="G71" s="382" t="s">
        <v>622</v>
      </c>
      <c r="H71" s="381"/>
      <c r="I71" s="383"/>
      <c r="J71" s="381" t="s">
        <v>626</v>
      </c>
      <c r="K71" s="345"/>
      <c r="L71" s="384"/>
    </row>
    <row r="72" spans="1:26" ht="33" customHeight="1">
      <c r="A72" s="448" t="s">
        <v>627</v>
      </c>
      <c r="B72" s="385"/>
      <c r="C72" s="386" t="s">
        <v>628</v>
      </c>
      <c r="D72" s="387" t="s">
        <v>629</v>
      </c>
      <c r="E72" s="388" t="s">
        <v>21</v>
      </c>
      <c r="F72" s="387" t="s">
        <v>630</v>
      </c>
      <c r="G72" s="387" t="s">
        <v>631</v>
      </c>
      <c r="H72" s="387"/>
      <c r="I72" s="389"/>
      <c r="J72" s="387" t="s">
        <v>632</v>
      </c>
      <c r="K72" s="390"/>
      <c r="L72" s="82"/>
    </row>
    <row r="73" spans="1:26" ht="33" customHeight="1">
      <c r="A73" s="449"/>
      <c r="B73" s="391"/>
      <c r="C73" s="392" t="s">
        <v>633</v>
      </c>
      <c r="D73" s="387" t="s">
        <v>634</v>
      </c>
      <c r="E73" s="388" t="s">
        <v>21</v>
      </c>
      <c r="F73" s="393" t="s">
        <v>630</v>
      </c>
      <c r="G73" s="387" t="s">
        <v>631</v>
      </c>
      <c r="H73" s="394"/>
      <c r="I73" s="394"/>
      <c r="J73" s="395" t="s">
        <v>635</v>
      </c>
      <c r="K73" s="299"/>
      <c r="L73" s="82"/>
    </row>
    <row r="74" spans="1:26" ht="33" customHeight="1">
      <c r="A74" s="449"/>
      <c r="B74" s="396"/>
      <c r="C74" s="392" t="s">
        <v>636</v>
      </c>
      <c r="D74" s="387" t="s">
        <v>637</v>
      </c>
      <c r="E74" s="388" t="s">
        <v>21</v>
      </c>
      <c r="F74" s="393" t="s">
        <v>630</v>
      </c>
      <c r="G74" s="387" t="s">
        <v>631</v>
      </c>
      <c r="H74" s="393"/>
      <c r="I74" s="397"/>
      <c r="J74" s="393" t="s">
        <v>638</v>
      </c>
      <c r="K74" s="299"/>
      <c r="L74" s="82"/>
    </row>
    <row r="75" spans="1:26" ht="33" customHeight="1">
      <c r="A75" s="449"/>
      <c r="B75" s="391"/>
      <c r="C75" s="392" t="s">
        <v>639</v>
      </c>
      <c r="D75" s="387" t="s">
        <v>640</v>
      </c>
      <c r="E75" s="388" t="s">
        <v>21</v>
      </c>
      <c r="F75" s="393" t="s">
        <v>630</v>
      </c>
      <c r="G75" s="387" t="s">
        <v>631</v>
      </c>
      <c r="H75" s="393"/>
      <c r="I75" s="397"/>
      <c r="J75" s="393" t="s">
        <v>641</v>
      </c>
      <c r="K75" s="299"/>
      <c r="L75" s="82"/>
    </row>
    <row r="76" spans="1:26" ht="33" customHeight="1">
      <c r="A76" s="450"/>
      <c r="B76" s="396"/>
      <c r="C76" s="392" t="s">
        <v>642</v>
      </c>
      <c r="D76" s="387" t="s">
        <v>643</v>
      </c>
      <c r="E76" s="388" t="s">
        <v>21</v>
      </c>
      <c r="F76" s="393" t="s">
        <v>630</v>
      </c>
      <c r="G76" s="387" t="s">
        <v>631</v>
      </c>
      <c r="H76" s="393"/>
      <c r="I76" s="397"/>
      <c r="J76" s="393" t="s">
        <v>644</v>
      </c>
      <c r="K76" s="299"/>
      <c r="L76" s="82"/>
    </row>
    <row r="77" spans="1:26">
      <c r="A77" s="398"/>
      <c r="B77" s="396"/>
      <c r="C77" s="399"/>
      <c r="D77" s="393"/>
      <c r="E77" s="397"/>
      <c r="F77" s="397"/>
      <c r="G77" s="393"/>
      <c r="H77" s="393"/>
      <c r="I77" s="397"/>
      <c r="J77" s="393"/>
      <c r="K77" s="299"/>
      <c r="L77" s="82"/>
    </row>
    <row r="78" spans="1:26" ht="33.75">
      <c r="A78" s="400" t="s">
        <v>645</v>
      </c>
      <c r="B78" s="401"/>
      <c r="C78" s="402" t="s">
        <v>646</v>
      </c>
      <c r="D78" s="403" t="s">
        <v>647</v>
      </c>
      <c r="E78" s="388" t="s">
        <v>21</v>
      </c>
      <c r="F78" s="393" t="s">
        <v>630</v>
      </c>
      <c r="G78" s="404" t="s">
        <v>648</v>
      </c>
      <c r="H78" s="405" t="s">
        <v>649</v>
      </c>
      <c r="I78" s="406"/>
      <c r="J78" s="407" t="s">
        <v>650</v>
      </c>
      <c r="K78" s="290"/>
      <c r="L78" s="82"/>
    </row>
    <row r="79" spans="1:26">
      <c r="A79" s="366"/>
      <c r="B79" s="287"/>
      <c r="C79" s="360"/>
      <c r="D79" s="328"/>
      <c r="E79" s="287"/>
      <c r="F79" s="361"/>
      <c r="G79" s="328"/>
      <c r="H79" s="328"/>
      <c r="I79" s="361"/>
      <c r="J79" s="328"/>
      <c r="K79" s="290"/>
      <c r="L79" s="82"/>
    </row>
    <row r="80" spans="1:26">
      <c r="A80" s="366"/>
      <c r="B80" s="359"/>
      <c r="C80" s="360"/>
      <c r="D80" s="328"/>
      <c r="E80" s="361"/>
      <c r="F80" s="361"/>
      <c r="G80" s="328"/>
      <c r="H80" s="328"/>
      <c r="I80" s="361"/>
      <c r="J80" s="328"/>
      <c r="K80" s="290"/>
      <c r="L80" s="82"/>
    </row>
    <row r="81" spans="1:12">
      <c r="A81" s="366"/>
      <c r="B81" s="359"/>
      <c r="C81" s="360"/>
      <c r="D81" s="328"/>
      <c r="E81" s="361"/>
      <c r="F81" s="361"/>
      <c r="G81" s="328"/>
      <c r="H81" s="328"/>
      <c r="I81" s="361"/>
      <c r="J81" s="328"/>
      <c r="K81" s="290"/>
      <c r="L81" s="82"/>
    </row>
    <row r="82" spans="1:12">
      <c r="A82" s="366"/>
      <c r="B82" s="287"/>
      <c r="C82" s="360"/>
      <c r="D82" s="328"/>
      <c r="E82" s="287"/>
      <c r="F82" s="361"/>
      <c r="G82" s="328"/>
      <c r="H82" s="328"/>
      <c r="I82" s="361"/>
      <c r="J82" s="328"/>
      <c r="K82" s="290"/>
      <c r="L82" s="82"/>
    </row>
    <row r="83" spans="1:12">
      <c r="A83" s="366"/>
      <c r="B83" s="359"/>
      <c r="C83" s="360"/>
      <c r="D83" s="328"/>
      <c r="E83" s="361"/>
      <c r="F83" s="361"/>
      <c r="G83" s="328"/>
      <c r="H83" s="328"/>
      <c r="I83" s="361"/>
      <c r="J83" s="328"/>
      <c r="K83" s="290"/>
      <c r="L83" s="82"/>
    </row>
    <row r="84" spans="1:12">
      <c r="A84" s="361"/>
      <c r="B84" s="287"/>
      <c r="C84" s="327"/>
      <c r="D84" s="328"/>
      <c r="E84" s="361"/>
      <c r="F84" s="291"/>
      <c r="G84" s="328"/>
      <c r="H84" s="328"/>
      <c r="I84" s="361"/>
      <c r="J84" s="328"/>
      <c r="K84" s="290"/>
      <c r="L84" s="82"/>
    </row>
    <row r="85" spans="1:12">
      <c r="A85" s="361"/>
      <c r="B85" s="359"/>
      <c r="C85" s="360"/>
      <c r="D85" s="328"/>
      <c r="E85" s="361"/>
      <c r="F85" s="291"/>
      <c r="G85" s="328"/>
      <c r="H85" s="328"/>
      <c r="I85" s="361"/>
      <c r="J85" s="328"/>
      <c r="K85" s="290"/>
      <c r="L85" s="82"/>
    </row>
    <row r="86" spans="1:12">
      <c r="A86" s="361"/>
      <c r="B86" s="287"/>
      <c r="C86" s="327"/>
      <c r="D86" s="328"/>
      <c r="E86" s="361"/>
      <c r="F86" s="291"/>
      <c r="G86" s="328"/>
      <c r="H86" s="328"/>
      <c r="I86" s="361"/>
      <c r="J86" s="328"/>
      <c r="K86" s="290"/>
      <c r="L86" s="82"/>
    </row>
    <row r="87" spans="1:12">
      <c r="A87" s="361"/>
      <c r="B87" s="359"/>
      <c r="C87" s="360"/>
      <c r="D87" s="328"/>
      <c r="E87" s="361"/>
      <c r="F87" s="291"/>
      <c r="G87" s="328"/>
      <c r="H87" s="328"/>
      <c r="I87" s="361"/>
      <c r="J87" s="328"/>
      <c r="K87" s="290"/>
      <c r="L87" s="82"/>
    </row>
    <row r="88" spans="1:12">
      <c r="A88" s="361"/>
      <c r="B88" s="287"/>
      <c r="C88" s="327"/>
      <c r="D88" s="328"/>
      <c r="E88" s="361"/>
      <c r="F88" s="291"/>
      <c r="G88" s="328"/>
      <c r="H88" s="328"/>
      <c r="I88" s="361"/>
      <c r="J88" s="328"/>
      <c r="K88" s="290"/>
      <c r="L88" s="82"/>
    </row>
    <row r="89" spans="1:12">
      <c r="A89" s="361"/>
      <c r="B89" s="359"/>
      <c r="C89" s="360"/>
      <c r="D89" s="328"/>
      <c r="E89" s="361"/>
      <c r="F89" s="291"/>
      <c r="G89" s="328"/>
      <c r="H89" s="328"/>
      <c r="I89" s="361"/>
      <c r="J89" s="328"/>
      <c r="K89" s="290"/>
      <c r="L89" s="82"/>
    </row>
    <row r="90" spans="1:12">
      <c r="A90" s="361"/>
      <c r="B90" s="289"/>
      <c r="C90" s="327"/>
      <c r="D90" s="328"/>
      <c r="E90" s="361"/>
      <c r="F90" s="291"/>
      <c r="G90" s="328"/>
      <c r="H90" s="328"/>
      <c r="I90" s="361"/>
      <c r="J90" s="328"/>
      <c r="K90" s="290"/>
      <c r="L90" s="82"/>
    </row>
    <row r="91" spans="1:12">
      <c r="A91" s="361"/>
      <c r="B91" s="408"/>
      <c r="C91" s="409"/>
      <c r="D91" s="410"/>
      <c r="E91" s="411"/>
      <c r="F91" s="412"/>
      <c r="G91" s="410"/>
      <c r="H91" s="410"/>
      <c r="I91" s="411"/>
      <c r="J91" s="410"/>
      <c r="K91" s="290"/>
      <c r="L91" s="82"/>
    </row>
    <row r="92" spans="1:12">
      <c r="A92" s="413"/>
      <c r="B92" s="414"/>
      <c r="C92" s="342"/>
      <c r="D92" s="343"/>
      <c r="E92" s="331"/>
      <c r="F92" s="331"/>
      <c r="G92" s="343"/>
      <c r="H92" s="343"/>
      <c r="I92" s="331"/>
      <c r="J92" s="343"/>
      <c r="K92" s="299"/>
      <c r="L92" s="82"/>
    </row>
    <row r="93" spans="1:12">
      <c r="A93" s="413"/>
      <c r="B93" s="340"/>
      <c r="C93" s="342"/>
      <c r="D93" s="343"/>
      <c r="E93" s="331"/>
      <c r="F93" s="331"/>
      <c r="G93" s="343"/>
      <c r="H93" s="343"/>
      <c r="I93" s="331"/>
      <c r="J93" s="343"/>
      <c r="K93" s="299"/>
      <c r="L93" s="82"/>
    </row>
    <row r="94" spans="1:12">
      <c r="A94" s="413"/>
      <c r="B94" s="340"/>
      <c r="C94" s="342"/>
      <c r="D94" s="343"/>
      <c r="E94" s="331"/>
      <c r="F94" s="331"/>
      <c r="G94" s="343"/>
      <c r="H94" s="343"/>
      <c r="I94" s="331"/>
      <c r="J94" s="343"/>
      <c r="K94" s="299"/>
      <c r="L94" s="82"/>
    </row>
    <row r="95" spans="1:12">
      <c r="A95" s="413"/>
      <c r="B95" s="340"/>
      <c r="C95" s="342"/>
      <c r="D95" s="343"/>
      <c r="E95" s="331"/>
      <c r="F95" s="331"/>
      <c r="G95" s="343"/>
      <c r="H95" s="343"/>
      <c r="I95" s="331"/>
      <c r="J95" s="343"/>
      <c r="K95" s="299"/>
      <c r="L95" s="82"/>
    </row>
    <row r="96" spans="1:12">
      <c r="A96" s="413"/>
      <c r="B96" s="340"/>
      <c r="C96" s="342"/>
      <c r="D96" s="343"/>
      <c r="E96" s="331"/>
      <c r="F96" s="331"/>
      <c r="G96" s="343"/>
      <c r="H96" s="343"/>
      <c r="I96" s="331"/>
      <c r="J96" s="343"/>
      <c r="K96" s="299"/>
      <c r="L96" s="82"/>
    </row>
    <row r="97" spans="1:12">
      <c r="A97" s="413"/>
      <c r="B97" s="340"/>
      <c r="C97" s="342"/>
      <c r="D97" s="343"/>
      <c r="E97" s="331"/>
      <c r="F97" s="331"/>
      <c r="G97" s="343"/>
      <c r="H97" s="343"/>
      <c r="I97" s="331"/>
      <c r="J97" s="343"/>
      <c r="K97" s="299"/>
      <c r="L97" s="82"/>
    </row>
    <row r="98" spans="1:12">
      <c r="A98" s="413"/>
      <c r="B98" s="340"/>
      <c r="C98" s="342"/>
      <c r="D98" s="343"/>
      <c r="E98" s="331"/>
      <c r="F98" s="331"/>
      <c r="G98" s="343"/>
      <c r="H98" s="343"/>
      <c r="I98" s="331"/>
      <c r="J98" s="343"/>
      <c r="K98" s="299"/>
      <c r="L98" s="82"/>
    </row>
    <row r="99" spans="1:12">
      <c r="A99" s="413"/>
      <c r="B99" s="340"/>
      <c r="C99" s="342"/>
      <c r="D99" s="343"/>
      <c r="E99" s="331"/>
      <c r="F99" s="331"/>
      <c r="G99" s="343"/>
      <c r="H99" s="343"/>
      <c r="I99" s="331"/>
      <c r="J99" s="343"/>
      <c r="K99" s="299"/>
      <c r="L99" s="82"/>
    </row>
    <row r="100" spans="1:12">
      <c r="A100" s="413"/>
      <c r="B100" s="340"/>
      <c r="C100" s="342"/>
      <c r="D100" s="343"/>
      <c r="E100" s="331"/>
      <c r="F100" s="331"/>
      <c r="G100" s="343"/>
      <c r="H100" s="343"/>
      <c r="I100" s="331"/>
      <c r="J100" s="343"/>
      <c r="K100" s="299"/>
      <c r="L100" s="82"/>
    </row>
    <row r="101" spans="1:12">
      <c r="A101" s="413"/>
      <c r="B101" s="340"/>
      <c r="C101" s="342"/>
      <c r="D101" s="343"/>
      <c r="E101" s="331"/>
      <c r="F101" s="331"/>
      <c r="G101" s="343"/>
      <c r="H101" s="343"/>
      <c r="I101" s="331"/>
      <c r="J101" s="343"/>
      <c r="K101" s="299"/>
      <c r="L101" s="82"/>
    </row>
    <row r="102" spans="1:12">
      <c r="A102" s="413"/>
      <c r="B102" s="340"/>
      <c r="C102" s="342"/>
      <c r="D102" s="343"/>
      <c r="E102" s="331"/>
      <c r="F102" s="331"/>
      <c r="G102" s="343"/>
      <c r="H102" s="343"/>
      <c r="I102" s="331"/>
      <c r="J102" s="343"/>
      <c r="K102" s="299"/>
      <c r="L102" s="82"/>
    </row>
    <row r="103" spans="1:12">
      <c r="A103" s="413"/>
      <c r="B103" s="340"/>
      <c r="C103" s="342"/>
      <c r="D103" s="343"/>
      <c r="E103" s="331"/>
      <c r="F103" s="331"/>
      <c r="G103" s="343"/>
      <c r="H103" s="343"/>
      <c r="I103" s="331"/>
      <c r="J103" s="343"/>
      <c r="K103" s="299"/>
      <c r="L103" s="82"/>
    </row>
    <row r="104" spans="1:12">
      <c r="A104" s="413"/>
      <c r="B104" s="340"/>
      <c r="C104" s="342"/>
      <c r="D104" s="343"/>
      <c r="E104" s="331"/>
      <c r="F104" s="331"/>
      <c r="G104" s="343"/>
      <c r="H104" s="343"/>
      <c r="I104" s="331"/>
      <c r="J104" s="343"/>
      <c r="K104" s="299"/>
      <c r="L104" s="82"/>
    </row>
    <row r="105" spans="1:12">
      <c r="A105" s="413"/>
      <c r="B105" s="414"/>
      <c r="C105" s="342"/>
      <c r="D105" s="343"/>
      <c r="E105" s="331"/>
      <c r="F105" s="331"/>
      <c r="G105" s="343"/>
      <c r="H105" s="343"/>
      <c r="I105" s="331"/>
      <c r="J105" s="343"/>
      <c r="K105" s="299"/>
      <c r="L105" s="82"/>
    </row>
    <row r="106" spans="1:12">
      <c r="A106" s="413"/>
      <c r="B106" s="340"/>
      <c r="C106" s="342"/>
      <c r="D106" s="343"/>
      <c r="E106" s="331"/>
      <c r="F106" s="331"/>
      <c r="G106" s="343"/>
      <c r="H106" s="343"/>
      <c r="I106" s="331"/>
      <c r="J106" s="343"/>
      <c r="K106" s="299"/>
      <c r="L106" s="82"/>
    </row>
    <row r="107" spans="1:12">
      <c r="A107" s="413"/>
      <c r="B107" s="414"/>
      <c r="C107" s="342"/>
      <c r="D107" s="343"/>
      <c r="E107" s="331"/>
      <c r="F107" s="331"/>
      <c r="G107" s="343"/>
      <c r="H107" s="343"/>
      <c r="I107" s="331"/>
      <c r="J107" s="343"/>
      <c r="K107" s="299"/>
      <c r="L107" s="82"/>
    </row>
    <row r="108" spans="1:12">
      <c r="A108" s="413"/>
      <c r="B108" s="414"/>
      <c r="C108" s="342"/>
      <c r="D108" s="343"/>
      <c r="E108" s="331"/>
      <c r="F108" s="331"/>
      <c r="G108" s="343"/>
      <c r="H108" s="343"/>
      <c r="I108" s="331"/>
      <c r="J108" s="343"/>
      <c r="K108" s="299"/>
      <c r="L108" s="82"/>
    </row>
    <row r="109" spans="1:12">
      <c r="A109" s="413"/>
      <c r="B109" s="340"/>
      <c r="C109" s="342"/>
      <c r="D109" s="343"/>
      <c r="E109" s="331"/>
      <c r="F109" s="331"/>
      <c r="G109" s="343"/>
      <c r="H109" s="343"/>
      <c r="I109" s="331"/>
      <c r="J109" s="343"/>
      <c r="K109" s="299"/>
      <c r="L109" s="82"/>
    </row>
    <row r="110" spans="1:12">
      <c r="A110" s="413"/>
      <c r="B110" s="340"/>
      <c r="C110" s="342"/>
      <c r="D110" s="343"/>
      <c r="E110" s="331"/>
      <c r="F110" s="331"/>
      <c r="G110" s="343"/>
      <c r="H110" s="343"/>
      <c r="I110" s="331"/>
      <c r="J110" s="343"/>
      <c r="K110" s="299"/>
      <c r="L110" s="82"/>
    </row>
    <row r="111" spans="1:12">
      <c r="A111" s="413"/>
      <c r="B111" s="340"/>
      <c r="C111" s="342"/>
      <c r="D111" s="343"/>
      <c r="E111" s="331"/>
      <c r="F111" s="331"/>
      <c r="G111" s="343"/>
      <c r="H111" s="343"/>
      <c r="I111" s="331"/>
      <c r="J111" s="343"/>
      <c r="K111" s="299"/>
      <c r="L111" s="82"/>
    </row>
    <row r="112" spans="1:12">
      <c r="A112" s="413"/>
      <c r="B112" s="340"/>
      <c r="C112" s="342"/>
      <c r="D112" s="343"/>
      <c r="E112" s="331"/>
      <c r="F112" s="331"/>
      <c r="G112" s="343"/>
      <c r="H112" s="343"/>
      <c r="I112" s="331"/>
      <c r="J112" s="343"/>
      <c r="K112" s="299"/>
      <c r="L112" s="82"/>
    </row>
    <row r="113" spans="1:12">
      <c r="A113" s="413"/>
      <c r="B113" s="340"/>
      <c r="C113" s="342"/>
      <c r="D113" s="343"/>
      <c r="E113" s="331"/>
      <c r="F113" s="331"/>
      <c r="G113" s="343"/>
      <c r="H113" s="343"/>
      <c r="I113" s="331"/>
      <c r="J113" s="343"/>
      <c r="K113" s="299"/>
      <c r="L113" s="82"/>
    </row>
    <row r="114" spans="1:12">
      <c r="A114" s="413"/>
      <c r="B114" s="340"/>
      <c r="C114" s="342"/>
      <c r="D114" s="343"/>
      <c r="E114" s="331"/>
      <c r="F114" s="331"/>
      <c r="G114" s="343"/>
      <c r="H114" s="343"/>
      <c r="I114" s="331"/>
      <c r="J114" s="343"/>
      <c r="K114" s="299"/>
      <c r="L114" s="82"/>
    </row>
    <row r="115" spans="1:12">
      <c r="A115" s="413"/>
      <c r="B115" s="340"/>
      <c r="C115" s="415"/>
      <c r="D115" s="340"/>
      <c r="E115" s="340"/>
      <c r="F115" s="340"/>
      <c r="G115" s="298"/>
      <c r="H115" s="298"/>
      <c r="I115" s="340"/>
      <c r="J115" s="298"/>
      <c r="K115" s="299"/>
      <c r="L115" s="82"/>
    </row>
    <row r="116" spans="1:12">
      <c r="A116" s="82"/>
      <c r="B116" s="352"/>
      <c r="C116" s="416"/>
      <c r="D116" s="352"/>
      <c r="E116" s="352"/>
      <c r="F116" s="352"/>
      <c r="G116" s="417"/>
      <c r="H116" s="417"/>
      <c r="I116" s="417"/>
      <c r="J116" s="417"/>
      <c r="K116" s="290"/>
      <c r="L116" s="82"/>
    </row>
    <row r="117" spans="1:12">
      <c r="A117" s="82"/>
      <c r="B117" s="295"/>
      <c r="C117" s="294"/>
      <c r="D117" s="295"/>
      <c r="E117" s="295"/>
      <c r="F117" s="295"/>
      <c r="G117" s="281"/>
      <c r="H117" s="281"/>
      <c r="I117" s="295"/>
      <c r="J117" s="281"/>
      <c r="K117" s="290"/>
      <c r="L117" s="82"/>
    </row>
    <row r="118" spans="1:12">
      <c r="A118" s="82"/>
      <c r="B118" s="295"/>
      <c r="C118" s="294"/>
      <c r="D118" s="295"/>
      <c r="E118" s="295"/>
      <c r="F118" s="295"/>
      <c r="G118" s="281"/>
      <c r="H118" s="281"/>
      <c r="I118" s="281"/>
      <c r="J118" s="281"/>
      <c r="K118" s="290"/>
      <c r="L118" s="82"/>
    </row>
    <row r="119" spans="1:12">
      <c r="A119" s="82"/>
      <c r="B119" s="295"/>
      <c r="C119" s="294"/>
      <c r="D119" s="295"/>
      <c r="E119" s="295"/>
      <c r="F119" s="295"/>
      <c r="G119" s="281"/>
      <c r="H119" s="281"/>
      <c r="I119" s="281"/>
      <c r="J119" s="281"/>
      <c r="K119" s="290"/>
      <c r="L119" s="82"/>
    </row>
    <row r="120" spans="1:12">
      <c r="A120" s="82"/>
      <c r="G120" s="281"/>
      <c r="H120" s="281"/>
      <c r="I120" s="281"/>
      <c r="J120" s="281"/>
      <c r="K120" s="290"/>
      <c r="L120" s="82"/>
    </row>
    <row r="121" spans="1:12">
      <c r="A121" s="82"/>
      <c r="B121" s="289"/>
      <c r="C121" s="288"/>
      <c r="D121" s="289"/>
      <c r="E121" s="290"/>
      <c r="F121" s="281"/>
      <c r="G121" s="281"/>
      <c r="H121" s="281"/>
      <c r="I121" s="281"/>
      <c r="J121" s="281"/>
      <c r="K121" s="290"/>
      <c r="L121" s="82"/>
    </row>
    <row r="122" spans="1:12">
      <c r="A122" s="82"/>
      <c r="B122" s="295"/>
      <c r="C122" s="294"/>
      <c r="D122" s="295"/>
      <c r="E122" s="295"/>
      <c r="F122" s="295"/>
      <c r="G122" s="281"/>
      <c r="H122" s="281"/>
      <c r="I122" s="281"/>
      <c r="J122" s="281"/>
      <c r="K122" s="290"/>
      <c r="L122" s="82"/>
    </row>
    <row r="123" spans="1:12">
      <c r="A123" s="82"/>
      <c r="B123" s="289"/>
      <c r="C123" s="288"/>
      <c r="D123" s="289"/>
      <c r="E123" s="290"/>
      <c r="F123" s="281"/>
      <c r="G123" s="281"/>
      <c r="H123" s="281"/>
      <c r="I123" s="281"/>
      <c r="J123" s="281"/>
      <c r="K123" s="290"/>
      <c r="L123" s="82"/>
    </row>
    <row r="124" spans="1:12">
      <c r="A124" s="82"/>
      <c r="B124" s="295"/>
      <c r="C124" s="294"/>
      <c r="D124" s="295"/>
      <c r="E124" s="295"/>
      <c r="F124" s="295"/>
      <c r="G124" s="281"/>
      <c r="H124" s="281"/>
      <c r="I124" s="281"/>
      <c r="J124" s="418"/>
      <c r="K124" s="290"/>
      <c r="L124" s="82"/>
    </row>
    <row r="125" spans="1:12">
      <c r="A125" s="82"/>
      <c r="B125" s="295"/>
      <c r="C125" s="294"/>
      <c r="D125" s="295"/>
      <c r="E125" s="295"/>
      <c r="F125" s="295"/>
      <c r="G125" s="281"/>
      <c r="H125" s="281"/>
      <c r="I125" s="281"/>
      <c r="J125" s="281"/>
      <c r="K125" s="290"/>
      <c r="L125" s="82"/>
    </row>
    <row r="126" spans="1:12">
      <c r="A126" s="82"/>
      <c r="B126" s="295"/>
      <c r="C126" s="294"/>
      <c r="D126" s="295"/>
      <c r="E126" s="295"/>
      <c r="F126" s="295"/>
      <c r="G126" s="281"/>
      <c r="H126" s="281"/>
      <c r="I126" s="281"/>
      <c r="J126" s="281"/>
      <c r="K126" s="290"/>
      <c r="L126" s="82"/>
    </row>
    <row r="127" spans="1:12">
      <c r="A127" s="82"/>
      <c r="B127" s="295"/>
      <c r="C127" s="294"/>
      <c r="D127" s="295"/>
      <c r="E127" s="295"/>
      <c r="F127" s="295"/>
      <c r="G127" s="281"/>
      <c r="H127" s="281"/>
      <c r="I127" s="281"/>
      <c r="J127" s="281"/>
      <c r="K127" s="290"/>
      <c r="L127" s="82"/>
    </row>
    <row r="128" spans="1:12">
      <c r="A128" s="82"/>
      <c r="B128" s="295"/>
      <c r="C128" s="294"/>
      <c r="D128" s="295"/>
      <c r="E128" s="295"/>
      <c r="F128" s="295"/>
      <c r="G128" s="281"/>
      <c r="H128" s="281"/>
      <c r="I128" s="281"/>
      <c r="J128" s="281"/>
      <c r="K128" s="290"/>
      <c r="L128" s="82"/>
    </row>
    <row r="129" spans="1:12">
      <c r="A129" s="82"/>
      <c r="B129" s="295"/>
      <c r="C129" s="294"/>
      <c r="D129" s="295"/>
      <c r="E129" s="295"/>
      <c r="F129" s="295"/>
      <c r="G129" s="281"/>
      <c r="H129" s="281"/>
      <c r="I129" s="281"/>
      <c r="J129" s="281"/>
      <c r="K129" s="290"/>
      <c r="L129" s="82"/>
    </row>
    <row r="130" spans="1:12">
      <c r="A130" s="82"/>
      <c r="B130" s="295"/>
      <c r="C130" s="294"/>
      <c r="D130" s="295"/>
      <c r="E130" s="295"/>
      <c r="F130" s="295"/>
      <c r="G130" s="281"/>
      <c r="H130" s="281"/>
      <c r="I130" s="295"/>
      <c r="J130" s="281"/>
      <c r="K130" s="290"/>
      <c r="L130" s="82"/>
    </row>
    <row r="131" spans="1:12">
      <c r="A131" s="82"/>
      <c r="B131" s="295"/>
      <c r="C131" s="288"/>
      <c r="D131" s="289"/>
      <c r="E131" s="290"/>
      <c r="F131" s="281"/>
      <c r="G131" s="281"/>
      <c r="H131" s="281"/>
      <c r="I131" s="281"/>
      <c r="J131" s="281"/>
      <c r="K131" s="290"/>
      <c r="L131" s="82"/>
    </row>
    <row r="132" spans="1:12">
      <c r="A132" s="82"/>
      <c r="B132" s="295"/>
      <c r="C132" s="294"/>
      <c r="D132" s="295"/>
      <c r="E132" s="295"/>
      <c r="F132" s="295"/>
      <c r="G132" s="281"/>
      <c r="H132" s="281"/>
      <c r="I132" s="281"/>
      <c r="J132" s="418"/>
      <c r="K132" s="290"/>
      <c r="L132" s="82"/>
    </row>
    <row r="133" spans="1:12">
      <c r="A133" s="82"/>
      <c r="B133" s="295"/>
      <c r="C133" s="294"/>
      <c r="D133" s="295"/>
      <c r="E133" s="295"/>
      <c r="F133" s="295"/>
      <c r="G133" s="281"/>
      <c r="H133" s="281"/>
      <c r="I133" s="281"/>
      <c r="J133" s="281"/>
      <c r="K133" s="290"/>
      <c r="L133" s="82"/>
    </row>
    <row r="134" spans="1:12">
      <c r="E134" s="295"/>
      <c r="F134" s="295"/>
      <c r="G134" s="281"/>
      <c r="H134" s="281"/>
      <c r="I134" s="281"/>
      <c r="J134" s="281"/>
      <c r="K134" s="419"/>
    </row>
    <row r="135" spans="1:12">
      <c r="E135" s="295"/>
      <c r="F135" s="295"/>
      <c r="G135" s="281"/>
      <c r="H135" s="281"/>
      <c r="I135" s="281"/>
      <c r="J135" s="281"/>
      <c r="K135" s="419"/>
    </row>
    <row r="136" spans="1:12">
      <c r="E136" s="295"/>
      <c r="F136" s="295"/>
      <c r="G136" s="281"/>
      <c r="H136" s="281"/>
      <c r="I136" s="281"/>
      <c r="J136" s="281"/>
      <c r="K136" s="419"/>
    </row>
    <row r="137" spans="1:12">
      <c r="A137" s="16"/>
      <c r="G137" s="281"/>
      <c r="H137" s="281"/>
      <c r="I137" s="281"/>
      <c r="J137" s="281"/>
      <c r="K137" s="419"/>
    </row>
    <row r="138" spans="1:12">
      <c r="K138" s="419"/>
    </row>
    <row r="139" spans="1:12">
      <c r="K139" s="419"/>
    </row>
    <row r="140" spans="1:12">
      <c r="K140" s="419"/>
    </row>
    <row r="141" spans="1:12">
      <c r="K141" s="419"/>
    </row>
    <row r="142" spans="1:12">
      <c r="K142" s="419"/>
    </row>
    <row r="143" spans="1:12">
      <c r="K143" s="419"/>
    </row>
    <row r="144" spans="1:12">
      <c r="K144" s="419"/>
    </row>
    <row r="145" spans="11:11">
      <c r="K145" s="419"/>
    </row>
    <row r="146" spans="11:11">
      <c r="K146" s="419"/>
    </row>
    <row r="147" spans="11:11">
      <c r="K147" s="419"/>
    </row>
    <row r="148" spans="11:11">
      <c r="K148" s="419"/>
    </row>
    <row r="149" spans="11:11">
      <c r="K149" s="419"/>
    </row>
    <row r="150" spans="11:11">
      <c r="K150" s="419"/>
    </row>
    <row r="151" spans="11:11">
      <c r="K151" s="419"/>
    </row>
    <row r="152" spans="11:11">
      <c r="K152" s="419"/>
    </row>
    <row r="153" spans="11:11">
      <c r="K153" s="419"/>
    </row>
    <row r="154" spans="11:11">
      <c r="K154" s="419"/>
    </row>
    <row r="155" spans="11:11">
      <c r="K155" s="419"/>
    </row>
    <row r="156" spans="11:11">
      <c r="K156" s="419"/>
    </row>
    <row r="157" spans="11:11">
      <c r="K157" s="419"/>
    </row>
    <row r="158" spans="11:11">
      <c r="K158" s="419"/>
    </row>
    <row r="159" spans="11:11">
      <c r="K159" s="419"/>
    </row>
    <row r="160" spans="11:11">
      <c r="K160" s="419"/>
    </row>
    <row r="161" spans="11:11">
      <c r="K161" s="419"/>
    </row>
    <row r="162" spans="11:11">
      <c r="K162" s="419"/>
    </row>
    <row r="163" spans="11:11">
      <c r="K163" s="419"/>
    </row>
    <row r="164" spans="11:11">
      <c r="K164" s="419"/>
    </row>
    <row r="165" spans="11:11">
      <c r="K165" s="419"/>
    </row>
    <row r="166" spans="11:11">
      <c r="K166" s="419"/>
    </row>
    <row r="167" spans="11:11">
      <c r="K167" s="419"/>
    </row>
    <row r="168" spans="11:11">
      <c r="K168" s="419"/>
    </row>
    <row r="169" spans="11:11">
      <c r="K169" s="419"/>
    </row>
    <row r="170" spans="11:11">
      <c r="K170" s="419"/>
    </row>
    <row r="171" spans="11:11">
      <c r="K171" s="419"/>
    </row>
    <row r="172" spans="11:11">
      <c r="K172" s="419"/>
    </row>
    <row r="173" spans="11:11">
      <c r="K173" s="419"/>
    </row>
    <row r="174" spans="11:11">
      <c r="K174" s="419"/>
    </row>
    <row r="175" spans="11:11">
      <c r="K175" s="419"/>
    </row>
    <row r="176" spans="11:11">
      <c r="K176" s="419"/>
    </row>
    <row r="177" spans="11:11">
      <c r="K177" s="419"/>
    </row>
    <row r="178" spans="11:11">
      <c r="K178" s="419"/>
    </row>
    <row r="179" spans="11:11">
      <c r="K179" s="419"/>
    </row>
    <row r="180" spans="11:11">
      <c r="K180" s="419"/>
    </row>
    <row r="181" spans="11:11">
      <c r="K181" s="419"/>
    </row>
    <row r="182" spans="11:11">
      <c r="K182" s="419"/>
    </row>
    <row r="183" spans="11:11">
      <c r="K183" s="419"/>
    </row>
    <row r="184" spans="11:11">
      <c r="K184" s="419"/>
    </row>
    <row r="185" spans="11:11">
      <c r="K185" s="419"/>
    </row>
    <row r="186" spans="11:11">
      <c r="K186" s="419"/>
    </row>
    <row r="187" spans="11:11">
      <c r="K187" s="419"/>
    </row>
    <row r="188" spans="11:11">
      <c r="K188" s="419"/>
    </row>
    <row r="189" spans="11:11">
      <c r="K189" s="419"/>
    </row>
    <row r="190" spans="11:11">
      <c r="K190" s="419"/>
    </row>
    <row r="191" spans="11:11">
      <c r="K191" s="419"/>
    </row>
    <row r="192" spans="11:11">
      <c r="K192" s="419"/>
    </row>
    <row r="193" spans="11:11">
      <c r="K193" s="419"/>
    </row>
    <row r="194" spans="11:11">
      <c r="K194" s="419"/>
    </row>
    <row r="195" spans="11:11">
      <c r="K195" s="419"/>
    </row>
    <row r="196" spans="11:11">
      <c r="K196" s="419"/>
    </row>
    <row r="197" spans="11:11">
      <c r="K197" s="419"/>
    </row>
    <row r="198" spans="11:11">
      <c r="K198" s="419"/>
    </row>
    <row r="199" spans="11:11">
      <c r="K199" s="419"/>
    </row>
    <row r="200" spans="11:11">
      <c r="K200" s="419"/>
    </row>
    <row r="201" spans="11:11">
      <c r="K201" s="419"/>
    </row>
    <row r="202" spans="11:11">
      <c r="K202" s="419"/>
    </row>
    <row r="203" spans="11:11">
      <c r="K203" s="419"/>
    </row>
    <row r="204" spans="11:11">
      <c r="K204" s="419"/>
    </row>
    <row r="205" spans="11:11">
      <c r="K205" s="419"/>
    </row>
    <row r="206" spans="11:11">
      <c r="K206" s="419"/>
    </row>
    <row r="207" spans="11:11">
      <c r="K207" s="419"/>
    </row>
    <row r="208" spans="11:11">
      <c r="K208" s="419"/>
    </row>
    <row r="209" spans="11:11">
      <c r="K209" s="419"/>
    </row>
    <row r="210" spans="11:11">
      <c r="K210" s="419"/>
    </row>
    <row r="211" spans="11:11">
      <c r="K211" s="419"/>
    </row>
    <row r="212" spans="11:11">
      <c r="K212" s="419"/>
    </row>
    <row r="213" spans="11:11">
      <c r="K213" s="419"/>
    </row>
    <row r="214" spans="11:11">
      <c r="K214" s="419"/>
    </row>
    <row r="215" spans="11:11">
      <c r="K215" s="419"/>
    </row>
    <row r="216" spans="11:11">
      <c r="K216" s="419"/>
    </row>
    <row r="217" spans="11:11">
      <c r="K217" s="419"/>
    </row>
    <row r="218" spans="11:11">
      <c r="K218" s="419"/>
    </row>
    <row r="219" spans="11:11">
      <c r="K219" s="419"/>
    </row>
    <row r="220" spans="11:11">
      <c r="K220" s="419"/>
    </row>
    <row r="221" spans="11:11">
      <c r="K221" s="419"/>
    </row>
    <row r="222" spans="11:11">
      <c r="K222" s="419"/>
    </row>
    <row r="223" spans="11:11">
      <c r="K223" s="419"/>
    </row>
    <row r="224" spans="11:11">
      <c r="K224" s="419"/>
    </row>
    <row r="225" spans="11:11">
      <c r="K225" s="419"/>
    </row>
    <row r="226" spans="11:11">
      <c r="K226" s="419"/>
    </row>
    <row r="227" spans="11:11">
      <c r="K227" s="419"/>
    </row>
    <row r="228" spans="11:11">
      <c r="K228" s="419"/>
    </row>
    <row r="229" spans="11:11">
      <c r="K229" s="419"/>
    </row>
    <row r="230" spans="11:11">
      <c r="K230" s="419"/>
    </row>
    <row r="231" spans="11:11">
      <c r="K231" s="419"/>
    </row>
    <row r="232" spans="11:11">
      <c r="K232" s="419"/>
    </row>
    <row r="233" spans="11:11">
      <c r="K233" s="419"/>
    </row>
    <row r="234" spans="11:11">
      <c r="K234" s="419"/>
    </row>
    <row r="235" spans="11:11">
      <c r="K235" s="419"/>
    </row>
    <row r="236" spans="11:11">
      <c r="K236" s="419"/>
    </row>
    <row r="237" spans="11:11">
      <c r="K237" s="419"/>
    </row>
    <row r="238" spans="11:11">
      <c r="K238" s="419"/>
    </row>
    <row r="239" spans="11:11">
      <c r="K239" s="419"/>
    </row>
    <row r="240" spans="11:11">
      <c r="K240" s="419"/>
    </row>
    <row r="241" spans="11:11">
      <c r="K241" s="419"/>
    </row>
    <row r="242" spans="11:11">
      <c r="K242" s="419"/>
    </row>
    <row r="243" spans="11:11">
      <c r="K243" s="419"/>
    </row>
    <row r="244" spans="11:11">
      <c r="K244" s="419"/>
    </row>
    <row r="245" spans="11:11">
      <c r="K245" s="419"/>
    </row>
    <row r="246" spans="11:11">
      <c r="K246" s="419"/>
    </row>
    <row r="247" spans="11:11">
      <c r="K247" s="419"/>
    </row>
    <row r="248" spans="11:11">
      <c r="K248" s="419"/>
    </row>
    <row r="249" spans="11:11">
      <c r="K249" s="419"/>
    </row>
    <row r="250" spans="11:11">
      <c r="K250" s="419"/>
    </row>
    <row r="251" spans="11:11">
      <c r="K251" s="419"/>
    </row>
    <row r="252" spans="11:11">
      <c r="K252" s="419"/>
    </row>
    <row r="253" spans="11:11">
      <c r="K253" s="419"/>
    </row>
    <row r="254" spans="11:11">
      <c r="K254" s="419"/>
    </row>
    <row r="255" spans="11:11">
      <c r="K255" s="419"/>
    </row>
    <row r="256" spans="11:11">
      <c r="K256" s="419"/>
    </row>
    <row r="257" spans="11:11">
      <c r="K257" s="419"/>
    </row>
    <row r="258" spans="11:11">
      <c r="K258" s="419"/>
    </row>
    <row r="259" spans="11:11">
      <c r="K259" s="419"/>
    </row>
    <row r="260" spans="11:11">
      <c r="K260" s="419"/>
    </row>
    <row r="261" spans="11:11">
      <c r="K261" s="419"/>
    </row>
    <row r="262" spans="11:11">
      <c r="K262" s="419"/>
    </row>
    <row r="263" spans="11:11">
      <c r="K263" s="419"/>
    </row>
    <row r="264" spans="11:11">
      <c r="K264" s="419"/>
    </row>
    <row r="265" spans="11:11">
      <c r="K265" s="419"/>
    </row>
    <row r="266" spans="11:11">
      <c r="K266" s="419"/>
    </row>
    <row r="267" spans="11:11">
      <c r="K267" s="419"/>
    </row>
    <row r="268" spans="11:11">
      <c r="K268" s="419"/>
    </row>
  </sheetData>
  <mergeCells count="11">
    <mergeCell ref="A4:B4"/>
    <mergeCell ref="D4:E4"/>
    <mergeCell ref="I4:K4"/>
    <mergeCell ref="A5:E5"/>
    <mergeCell ref="I5:K5"/>
    <mergeCell ref="A66:A68"/>
    <mergeCell ref="A69:A71"/>
    <mergeCell ref="A72:A76"/>
    <mergeCell ref="J33:J35"/>
    <mergeCell ref="A7:A24"/>
    <mergeCell ref="A59:A65"/>
  </mergeCells>
  <phoneticPr fontId="84" type="noConversion"/>
  <conditionalFormatting sqref="F1:H2 J1:J2">
    <cfRule type="cellIs" dxfId="37" priority="6" stopIfTrue="1" operator="equal">
      <formula>"自动"</formula>
      <formula>"自动"</formula>
    </cfRule>
  </conditionalFormatting>
  <conditionalFormatting sqref="K6:K82">
    <cfRule type="cellIs" dxfId="36" priority="4" stopIfTrue="1" operator="equal">
      <formula>"Fail"</formula>
      <formula>"Fail"</formula>
    </cfRule>
  </conditionalFormatting>
  <conditionalFormatting sqref="K6:K268">
    <cfRule type="cellIs" dxfId="35" priority="1" stopIfTrue="1" operator="equal">
      <formula>"自动"</formula>
      <formula>"自动"</formula>
    </cfRule>
    <cfRule type="cellIs" dxfId="34" priority="5" stopIfTrue="1" operator="equal">
      <formula>"Pass"</formula>
      <formula>"Pass"</formula>
    </cfRule>
  </conditionalFormatting>
  <conditionalFormatting sqref="K7:K82">
    <cfRule type="cellIs" dxfId="33" priority="2" stopIfTrue="1" operator="equal">
      <formula>"Pass"</formula>
      <formula>"Pass"</formula>
    </cfRule>
    <cfRule type="cellIs" dxfId="32" priority="3" stopIfTrue="1" operator="equal">
      <formula>"Pass"</formula>
      <formula>"Pass"</formula>
    </cfRule>
  </conditionalFormatting>
  <conditionalFormatting sqref="K83:K268">
    <cfRule type="cellIs" dxfId="31" priority="7" stopIfTrue="1" operator="equal">
      <formula>"Pass"</formula>
      <formula>"Pass"</formula>
    </cfRule>
    <cfRule type="cellIs" dxfId="30" priority="8" stopIfTrue="1" operator="equal">
      <formula>"Fail"</formula>
      <formula>"Fail"</formula>
    </cfRule>
    <cfRule type="cellIs" dxfId="29" priority="9" stopIfTrue="1" operator="equal">
      <formula>"Pass"</formula>
      <formula>"Pass"</formula>
    </cfRule>
  </conditionalFormatting>
  <dataValidations count="2">
    <dataValidation type="list" allowBlank="1" showInputMessage="1" showErrorMessage="1" sqref="E7 E131 E123 E121 E82 E79 E59:E60 E54 E49 E46 E40 E13:E18" xr:uid="{00000000-0002-0000-0100-000000000000}">
      <formula1>"1-High,2-Normal,3-Low"</formula1>
    </dataValidation>
    <dataValidation type="list" allowBlank="1" showInputMessage="1" showErrorMessage="1" sqref="K7:K65 K67:K268" xr:uid="{00000000-0002-0000-0100-00000C000000}">
      <formula1>"Pass,Fail,Undef"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显示器"/>
  <dimension ref="A1:L33"/>
  <sheetViews>
    <sheetView zoomScale="130" zoomScaleNormal="130" workbookViewId="0"/>
  </sheetViews>
  <sheetFormatPr defaultColWidth="9" defaultRowHeight="14.25"/>
  <cols>
    <col min="1" max="1" width="13.5" customWidth="1"/>
    <col min="2" max="2" width="11.625" customWidth="1"/>
    <col min="3" max="3" width="13.5" customWidth="1"/>
    <col min="4" max="4" width="18.5" customWidth="1"/>
    <col min="6" max="6" width="14.375" customWidth="1"/>
    <col min="7" max="7" width="20.75" customWidth="1"/>
    <col min="8" max="8" width="10" customWidth="1"/>
    <col min="10" max="10" width="38.125" customWidth="1"/>
    <col min="12" max="12" width="26.125" customWidth="1"/>
  </cols>
  <sheetData>
    <row r="1" spans="1:12" s="309" customFormat="1" ht="11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/>
      <c r="H1" s="7"/>
      <c r="I1" s="8"/>
      <c r="J1" s="6"/>
    </row>
    <row r="2" spans="1:12" s="309" customFormat="1" ht="11.25">
      <c r="A2" s="9">
        <f>COUNTA(B7:B928)</f>
        <v>20</v>
      </c>
      <c r="B2" s="10">
        <f>COUNTIF(K8:K10,"Pass")</f>
        <v>0</v>
      </c>
      <c r="C2" s="11">
        <f>COUNTIF(K8:K10,"Fail")</f>
        <v>0</v>
      </c>
      <c r="D2" s="12">
        <f>COUNTIF(K8:K10,"Undef")</f>
        <v>0</v>
      </c>
      <c r="E2" s="13" t="e">
        <f>B2/(B2+C2)</f>
        <v>#DIV/0!</v>
      </c>
      <c r="F2" s="6"/>
      <c r="G2" s="14"/>
      <c r="H2" s="14"/>
      <c r="I2" s="8"/>
      <c r="J2" s="6"/>
    </row>
    <row r="3" spans="1:12" s="309" customFormat="1" ht="11.25">
      <c r="A3" s="15"/>
      <c r="B3" s="15"/>
      <c r="C3" s="15"/>
      <c r="D3" s="6"/>
      <c r="E3" s="15"/>
      <c r="F3" s="6"/>
      <c r="G3" s="14"/>
      <c r="H3" s="14"/>
      <c r="J3" s="16"/>
      <c r="K3" s="8"/>
    </row>
    <row r="4" spans="1:12" s="309" customFormat="1" ht="12.75">
      <c r="A4" s="435"/>
      <c r="B4" s="436"/>
      <c r="C4" s="17" t="s">
        <v>5</v>
      </c>
      <c r="D4" s="437" t="s">
        <v>6</v>
      </c>
      <c r="E4" s="438"/>
      <c r="F4" s="17"/>
      <c r="G4" s="18"/>
      <c r="H4" s="18"/>
      <c r="I4" s="439"/>
      <c r="J4" s="440"/>
      <c r="K4" s="440"/>
      <c r="L4" s="19"/>
    </row>
    <row r="5" spans="1:12" s="309" customFormat="1" ht="12.75">
      <c r="A5" s="441"/>
      <c r="B5" s="442"/>
      <c r="C5" s="442"/>
      <c r="D5" s="442"/>
      <c r="E5" s="442"/>
      <c r="F5" s="17" t="s">
        <v>7</v>
      </c>
      <c r="G5" s="20"/>
      <c r="H5" s="20"/>
      <c r="I5" s="439"/>
      <c r="J5" s="440"/>
      <c r="K5" s="440"/>
      <c r="L5" s="19"/>
    </row>
    <row r="6" spans="1:12" s="309" customFormat="1" ht="12">
      <c r="A6" s="21" t="s">
        <v>8</v>
      </c>
      <c r="B6" s="22" t="s">
        <v>9</v>
      </c>
      <c r="C6" s="21" t="s">
        <v>10</v>
      </c>
      <c r="D6" s="22" t="s">
        <v>11</v>
      </c>
      <c r="E6" s="21" t="s">
        <v>12</v>
      </c>
      <c r="F6" s="22" t="s">
        <v>13</v>
      </c>
      <c r="G6" s="23" t="s">
        <v>651</v>
      </c>
      <c r="H6" s="24" t="s">
        <v>14</v>
      </c>
      <c r="I6" s="21" t="s">
        <v>15</v>
      </c>
      <c r="J6" s="23" t="s">
        <v>652</v>
      </c>
      <c r="K6" s="25" t="s">
        <v>653</v>
      </c>
      <c r="L6" s="26" t="s">
        <v>16</v>
      </c>
    </row>
    <row r="7" spans="1:12" s="425" customFormat="1" ht="60" customHeight="1">
      <c r="A7" s="432" t="s">
        <v>17</v>
      </c>
      <c r="B7" s="27" t="s">
        <v>18</v>
      </c>
      <c r="C7" s="27" t="s">
        <v>19</v>
      </c>
      <c r="D7" s="27" t="s">
        <v>20</v>
      </c>
      <c r="E7" s="28" t="s">
        <v>21</v>
      </c>
      <c r="F7" s="27" t="s">
        <v>22</v>
      </c>
      <c r="G7" s="27" t="s">
        <v>23</v>
      </c>
      <c r="H7" s="27"/>
      <c r="I7" s="27"/>
      <c r="J7" s="29" t="s">
        <v>24</v>
      </c>
      <c r="K7" s="28"/>
      <c r="L7" s="27"/>
    </row>
    <row r="8" spans="1:12" s="425" customFormat="1" ht="135" customHeight="1">
      <c r="A8" s="433"/>
      <c r="B8" s="27" t="s">
        <v>25</v>
      </c>
      <c r="C8" s="27" t="s">
        <v>26</v>
      </c>
      <c r="D8" s="27" t="s">
        <v>27</v>
      </c>
      <c r="E8" s="28" t="s">
        <v>21</v>
      </c>
      <c r="F8" s="27" t="s">
        <v>28</v>
      </c>
      <c r="G8" s="29" t="s">
        <v>29</v>
      </c>
      <c r="H8" s="27"/>
      <c r="I8" s="27"/>
      <c r="J8" s="29" t="s">
        <v>30</v>
      </c>
      <c r="K8" s="28"/>
      <c r="L8" s="27"/>
    </row>
    <row r="9" spans="1:12" s="425" customFormat="1" ht="75" customHeight="1">
      <c r="A9" s="433"/>
      <c r="B9" s="27" t="s">
        <v>31</v>
      </c>
      <c r="C9" s="27" t="s">
        <v>32</v>
      </c>
      <c r="D9" s="27" t="s">
        <v>33</v>
      </c>
      <c r="E9" s="28" t="s">
        <v>21</v>
      </c>
      <c r="F9" s="27" t="s">
        <v>28</v>
      </c>
      <c r="G9" s="27" t="s">
        <v>34</v>
      </c>
      <c r="H9" s="27"/>
      <c r="I9" s="27"/>
      <c r="J9" s="29" t="s">
        <v>35</v>
      </c>
      <c r="K9" s="28"/>
      <c r="L9" s="27"/>
    </row>
    <row r="10" spans="1:12" s="425" customFormat="1" ht="55.5" customHeight="1">
      <c r="A10" s="433"/>
      <c r="B10" s="27" t="s">
        <v>36</v>
      </c>
      <c r="C10" s="27" t="s">
        <v>37</v>
      </c>
      <c r="D10" s="27" t="s">
        <v>38</v>
      </c>
      <c r="E10" s="28" t="s">
        <v>21</v>
      </c>
      <c r="F10" s="27" t="s">
        <v>39</v>
      </c>
      <c r="G10" s="29" t="s">
        <v>40</v>
      </c>
      <c r="H10" s="27"/>
      <c r="I10" s="27"/>
      <c r="J10" s="29" t="s">
        <v>41</v>
      </c>
      <c r="K10" s="28"/>
      <c r="L10" s="27"/>
    </row>
    <row r="11" spans="1:12" ht="60" customHeight="1">
      <c r="A11" s="433"/>
      <c r="B11" s="31" t="s">
        <v>42</v>
      </c>
      <c r="C11" s="31" t="s">
        <v>43</v>
      </c>
      <c r="D11" s="31" t="s">
        <v>44</v>
      </c>
      <c r="E11" s="31" t="s">
        <v>21</v>
      </c>
      <c r="F11" s="31" t="s">
        <v>45</v>
      </c>
      <c r="G11" s="29" t="s">
        <v>46</v>
      </c>
      <c r="H11" s="31"/>
      <c r="I11" s="31"/>
      <c r="J11" s="29" t="s">
        <v>47</v>
      </c>
      <c r="K11" s="31"/>
      <c r="L11" s="31"/>
    </row>
    <row r="12" spans="1:12" ht="45" customHeight="1">
      <c r="A12" s="433"/>
      <c r="B12" s="31" t="s">
        <v>48</v>
      </c>
      <c r="C12" s="31" t="s">
        <v>49</v>
      </c>
      <c r="D12" s="31" t="s">
        <v>50</v>
      </c>
      <c r="E12" s="31" t="s">
        <v>21</v>
      </c>
      <c r="F12" s="31" t="s">
        <v>45</v>
      </c>
      <c r="G12" s="29" t="s">
        <v>51</v>
      </c>
      <c r="H12" s="31"/>
      <c r="I12" s="31"/>
      <c r="J12" s="31" t="s">
        <v>52</v>
      </c>
      <c r="K12" s="31"/>
      <c r="L12" s="31"/>
    </row>
    <row r="13" spans="1:12" ht="60" customHeight="1">
      <c r="A13" s="433"/>
      <c r="B13" s="31" t="s">
        <v>53</v>
      </c>
      <c r="C13" s="31" t="s">
        <v>54</v>
      </c>
      <c r="D13" s="31" t="s">
        <v>55</v>
      </c>
      <c r="E13" s="31" t="s">
        <v>21</v>
      </c>
      <c r="F13" s="31" t="s">
        <v>56</v>
      </c>
      <c r="G13" s="29" t="s">
        <v>57</v>
      </c>
      <c r="H13" s="31"/>
      <c r="I13" s="31"/>
      <c r="J13" s="32" t="s">
        <v>58</v>
      </c>
      <c r="K13" s="31"/>
      <c r="L13" s="31"/>
    </row>
    <row r="14" spans="1:12" ht="60.75" customHeight="1">
      <c r="A14" s="433"/>
      <c r="B14" s="31" t="s">
        <v>59</v>
      </c>
      <c r="C14" s="31" t="s">
        <v>60</v>
      </c>
      <c r="D14" s="31" t="s">
        <v>61</v>
      </c>
      <c r="E14" s="31" t="s">
        <v>21</v>
      </c>
      <c r="F14" s="31" t="s">
        <v>62</v>
      </c>
      <c r="G14" s="29" t="s">
        <v>63</v>
      </c>
      <c r="H14" s="31"/>
      <c r="I14" s="31"/>
      <c r="J14" s="29" t="s">
        <v>64</v>
      </c>
      <c r="K14" s="31"/>
      <c r="L14" s="31"/>
    </row>
    <row r="15" spans="1:12" ht="58.5" customHeight="1">
      <c r="A15" s="434"/>
      <c r="B15" s="31"/>
      <c r="C15" s="31" t="s">
        <v>65</v>
      </c>
      <c r="D15" s="31" t="s">
        <v>66</v>
      </c>
      <c r="E15" s="31" t="s">
        <v>21</v>
      </c>
      <c r="F15" s="31" t="s">
        <v>56</v>
      </c>
      <c r="G15" s="29" t="s">
        <v>67</v>
      </c>
      <c r="H15" s="31"/>
      <c r="I15" s="31"/>
      <c r="J15" s="31" t="s">
        <v>68</v>
      </c>
      <c r="K15" s="31"/>
      <c r="L15" s="31"/>
    </row>
    <row r="16" spans="1:12" ht="58.5" customHeight="1">
      <c r="A16" s="434"/>
      <c r="B16" s="31"/>
      <c r="C16" s="31" t="s">
        <v>69</v>
      </c>
      <c r="D16" s="31" t="s">
        <v>70</v>
      </c>
      <c r="E16" s="31" t="s">
        <v>21</v>
      </c>
      <c r="F16" s="31" t="s">
        <v>62</v>
      </c>
      <c r="G16" s="29" t="s">
        <v>71</v>
      </c>
      <c r="H16" s="31"/>
      <c r="I16" s="31"/>
      <c r="J16" s="31" t="s">
        <v>72</v>
      </c>
      <c r="K16" s="31"/>
      <c r="L16" s="31"/>
    </row>
    <row r="17" spans="1:12" ht="58.5" customHeight="1">
      <c r="A17" s="433"/>
      <c r="B17" s="31" t="s">
        <v>73</v>
      </c>
      <c r="C17" s="31" t="s">
        <v>74</v>
      </c>
      <c r="D17" s="31" t="s">
        <v>75</v>
      </c>
      <c r="E17" s="31" t="s">
        <v>21</v>
      </c>
      <c r="F17" s="31" t="s">
        <v>76</v>
      </c>
      <c r="G17" s="29" t="s">
        <v>77</v>
      </c>
      <c r="H17" s="31"/>
      <c r="I17" s="31"/>
      <c r="J17" s="29" t="s">
        <v>78</v>
      </c>
      <c r="K17" s="31"/>
      <c r="L17" s="31"/>
    </row>
    <row r="18" spans="1:12" ht="30" customHeight="1">
      <c r="A18" s="433"/>
      <c r="B18" s="31" t="s">
        <v>79</v>
      </c>
      <c r="C18" s="31" t="s">
        <v>80</v>
      </c>
      <c r="D18" s="31" t="s">
        <v>81</v>
      </c>
      <c r="E18" s="31" t="s">
        <v>21</v>
      </c>
      <c r="F18" s="31" t="s">
        <v>82</v>
      </c>
      <c r="G18" s="31" t="s">
        <v>83</v>
      </c>
      <c r="H18" s="31"/>
      <c r="I18" s="31"/>
      <c r="J18" s="31" t="s">
        <v>84</v>
      </c>
      <c r="K18" s="31"/>
      <c r="L18" s="31"/>
    </row>
    <row r="19" spans="1:12" ht="30" customHeight="1">
      <c r="A19" s="433"/>
      <c r="B19" s="31" t="s">
        <v>85</v>
      </c>
      <c r="C19" s="31" t="s">
        <v>86</v>
      </c>
      <c r="D19" s="31" t="s">
        <v>87</v>
      </c>
      <c r="E19" s="31" t="s">
        <v>21</v>
      </c>
      <c r="F19" s="31" t="s">
        <v>88</v>
      </c>
      <c r="G19" s="31" t="s">
        <v>89</v>
      </c>
      <c r="H19" s="31"/>
      <c r="I19" s="31"/>
      <c r="J19" s="31" t="s">
        <v>90</v>
      </c>
      <c r="K19" s="31"/>
      <c r="L19" s="31"/>
    </row>
    <row r="20" spans="1:12" ht="30" customHeight="1">
      <c r="A20" s="433"/>
      <c r="B20" s="31" t="s">
        <v>91</v>
      </c>
      <c r="C20" s="31" t="s">
        <v>92</v>
      </c>
      <c r="D20" s="31" t="s">
        <v>93</v>
      </c>
      <c r="E20" s="31" t="s">
        <v>21</v>
      </c>
      <c r="F20" s="31" t="s">
        <v>94</v>
      </c>
      <c r="G20" s="31" t="s">
        <v>95</v>
      </c>
      <c r="H20" s="31"/>
      <c r="I20" s="31"/>
      <c r="J20" s="31" t="s">
        <v>96</v>
      </c>
      <c r="K20" s="31"/>
      <c r="L20" s="31"/>
    </row>
    <row r="21" spans="1:12" ht="30" customHeight="1">
      <c r="A21" s="433"/>
      <c r="B21" s="31" t="s">
        <v>97</v>
      </c>
      <c r="C21" s="31" t="s">
        <v>98</v>
      </c>
      <c r="D21" s="31" t="s">
        <v>99</v>
      </c>
      <c r="E21" s="31" t="s">
        <v>21</v>
      </c>
      <c r="F21" s="31" t="s">
        <v>100</v>
      </c>
      <c r="G21" s="31" t="s">
        <v>101</v>
      </c>
      <c r="H21" s="31"/>
      <c r="I21" s="31"/>
      <c r="J21" s="31" t="s">
        <v>102</v>
      </c>
      <c r="K21" s="31"/>
      <c r="L21" s="31"/>
    </row>
    <row r="22" spans="1:12" ht="30" customHeight="1">
      <c r="A22" s="433"/>
      <c r="B22" s="31" t="s">
        <v>103</v>
      </c>
      <c r="C22" s="31" t="s">
        <v>104</v>
      </c>
      <c r="D22" s="31" t="s">
        <v>105</v>
      </c>
      <c r="E22" s="31" t="s">
        <v>21</v>
      </c>
      <c r="F22" s="31" t="s">
        <v>106</v>
      </c>
      <c r="G22" s="31" t="s">
        <v>107</v>
      </c>
      <c r="H22" s="31"/>
      <c r="I22" s="31"/>
      <c r="J22" s="31" t="s">
        <v>108</v>
      </c>
      <c r="K22" s="31"/>
      <c r="L22" s="31"/>
    </row>
    <row r="23" spans="1:12" ht="30" customHeight="1">
      <c r="A23" s="433"/>
      <c r="B23" s="31" t="s">
        <v>109</v>
      </c>
      <c r="C23" s="31" t="s">
        <v>110</v>
      </c>
      <c r="D23" s="31" t="s">
        <v>111</v>
      </c>
      <c r="E23" s="31" t="s">
        <v>21</v>
      </c>
      <c r="F23" s="31" t="s">
        <v>112</v>
      </c>
      <c r="G23" s="31" t="s">
        <v>113</v>
      </c>
      <c r="H23" s="31"/>
      <c r="I23" s="31"/>
      <c r="J23" s="31" t="s">
        <v>114</v>
      </c>
      <c r="K23" s="31"/>
      <c r="L23" s="31"/>
    </row>
    <row r="24" spans="1:12" ht="45" customHeight="1">
      <c r="A24" s="433"/>
      <c r="B24" s="31" t="s">
        <v>115</v>
      </c>
      <c r="C24" s="31" t="s">
        <v>116</v>
      </c>
      <c r="D24" s="31" t="s">
        <v>117</v>
      </c>
      <c r="E24" s="31" t="s">
        <v>21</v>
      </c>
      <c r="F24" s="31" t="s">
        <v>118</v>
      </c>
      <c r="G24" s="31" t="s">
        <v>119</v>
      </c>
      <c r="H24" s="31"/>
      <c r="I24" s="31"/>
      <c r="J24" s="31" t="s">
        <v>120</v>
      </c>
      <c r="K24" s="31"/>
      <c r="L24" s="31"/>
    </row>
    <row r="25" spans="1:12" ht="63" customHeight="1">
      <c r="A25" s="433"/>
      <c r="B25" s="31" t="s">
        <v>121</v>
      </c>
      <c r="C25" s="31" t="s">
        <v>122</v>
      </c>
      <c r="D25" s="31" t="s">
        <v>123</v>
      </c>
      <c r="E25" s="31" t="s">
        <v>21</v>
      </c>
      <c r="F25" s="31" t="s">
        <v>124</v>
      </c>
      <c r="G25" s="31" t="s">
        <v>125</v>
      </c>
      <c r="H25" s="31"/>
      <c r="I25" s="31"/>
      <c r="J25" s="31" t="s">
        <v>126</v>
      </c>
      <c r="K25" s="31"/>
      <c r="L25" s="31"/>
    </row>
    <row r="26" spans="1:12" ht="30" customHeight="1">
      <c r="A26" s="433"/>
      <c r="B26" s="33" t="s">
        <v>127</v>
      </c>
      <c r="C26" s="33" t="s">
        <v>128</v>
      </c>
      <c r="D26" s="33" t="s">
        <v>129</v>
      </c>
      <c r="E26" s="33" t="s">
        <v>21</v>
      </c>
      <c r="F26" s="33" t="s">
        <v>130</v>
      </c>
      <c r="G26" s="33" t="s">
        <v>131</v>
      </c>
      <c r="H26" s="33"/>
      <c r="I26" s="33"/>
      <c r="J26" s="33" t="s">
        <v>132</v>
      </c>
      <c r="K26" s="31"/>
      <c r="L26" s="31"/>
    </row>
    <row r="27" spans="1:12" ht="42.75">
      <c r="A27" s="34"/>
      <c r="B27" s="33" t="s">
        <v>133</v>
      </c>
      <c r="C27" s="33" t="s">
        <v>134</v>
      </c>
      <c r="D27" s="33" t="s">
        <v>135</v>
      </c>
      <c r="E27" s="33" t="s">
        <v>21</v>
      </c>
      <c r="F27" s="33" t="s">
        <v>136</v>
      </c>
      <c r="G27" s="33" t="s">
        <v>137</v>
      </c>
      <c r="H27" s="35"/>
      <c r="I27" s="36"/>
      <c r="J27" s="33" t="s">
        <v>138</v>
      </c>
      <c r="K27" s="34"/>
      <c r="L27" s="34"/>
    </row>
    <row r="28" spans="1:12" ht="42.75">
      <c r="A28" s="34"/>
      <c r="B28" s="33"/>
      <c r="C28" s="33"/>
      <c r="D28" s="33"/>
      <c r="E28" s="33"/>
      <c r="F28" s="33"/>
      <c r="G28" s="33"/>
      <c r="H28" s="35"/>
      <c r="I28" s="36"/>
      <c r="J28" s="33" t="s">
        <v>139</v>
      </c>
      <c r="K28" s="34"/>
      <c r="L28" s="34"/>
    </row>
    <row r="29" spans="1:12" ht="28.5">
      <c r="A29" s="34" t="s">
        <v>140</v>
      </c>
      <c r="B29" s="33" t="s">
        <v>141</v>
      </c>
      <c r="C29" s="33" t="s">
        <v>142</v>
      </c>
      <c r="D29" s="33" t="s">
        <v>143</v>
      </c>
      <c r="E29" s="33" t="s">
        <v>21</v>
      </c>
      <c r="F29" s="33" t="s">
        <v>136</v>
      </c>
      <c r="G29" s="33" t="s">
        <v>144</v>
      </c>
      <c r="H29" s="35"/>
      <c r="I29" s="36"/>
      <c r="J29" s="33" t="s">
        <v>145</v>
      </c>
      <c r="K29" s="34"/>
      <c r="L29" s="34"/>
    </row>
    <row r="30" spans="1:12">
      <c r="A30" s="34"/>
      <c r="B30" s="37"/>
      <c r="C30" s="38"/>
      <c r="D30" s="39"/>
      <c r="E30" s="36"/>
      <c r="F30" s="36"/>
      <c r="G30" s="39"/>
      <c r="H30" s="39"/>
      <c r="I30" s="36"/>
      <c r="J30" s="39" t="s">
        <v>146</v>
      </c>
      <c r="K30" s="34"/>
      <c r="L30" s="34"/>
    </row>
    <row r="31" spans="1:12">
      <c r="A31" s="34"/>
      <c r="B31" s="37"/>
      <c r="C31" s="38"/>
      <c r="D31" s="39"/>
      <c r="E31" s="36"/>
      <c r="F31" s="36"/>
      <c r="G31" s="39"/>
      <c r="H31" s="39"/>
      <c r="I31" s="36"/>
      <c r="J31" s="39" t="s">
        <v>147</v>
      </c>
      <c r="K31" s="34"/>
      <c r="L31" s="34"/>
    </row>
    <row r="32" spans="1:12" ht="28.5">
      <c r="A32" s="34"/>
      <c r="B32" s="37"/>
      <c r="C32" s="38"/>
      <c r="D32" s="39"/>
      <c r="E32" s="36"/>
      <c r="F32" s="36"/>
      <c r="G32" s="39"/>
      <c r="H32" s="39"/>
      <c r="I32" s="36"/>
      <c r="J32" s="39" t="s">
        <v>148</v>
      </c>
      <c r="K32" s="34"/>
      <c r="L32" s="34"/>
    </row>
    <row r="33" spans="1:12">
      <c r="A33" s="30"/>
      <c r="B33" s="40"/>
      <c r="C33" s="40"/>
      <c r="D33" s="40"/>
      <c r="E33" s="40"/>
      <c r="F33" s="40"/>
      <c r="G33" s="40"/>
      <c r="H33" s="40"/>
      <c r="I33" s="40"/>
      <c r="J33" s="40"/>
      <c r="K33" s="30"/>
      <c r="L33" s="30"/>
    </row>
  </sheetData>
  <mergeCells count="6">
    <mergeCell ref="A7:A26"/>
    <mergeCell ref="A4:B4"/>
    <mergeCell ref="D4:E4"/>
    <mergeCell ref="I4:K4"/>
    <mergeCell ref="A5:E5"/>
    <mergeCell ref="I5:K5"/>
  </mergeCells>
  <phoneticPr fontId="84" type="noConversion"/>
  <conditionalFormatting sqref="F1:H2 J1:J2">
    <cfRule type="cellIs" dxfId="28" priority="6" stopIfTrue="1" operator="equal">
      <formula>"自动"</formula>
      <formula>"自动"</formula>
    </cfRule>
  </conditionalFormatting>
  <conditionalFormatting sqref="K6:K17">
    <cfRule type="cellIs" dxfId="27" priority="1" stopIfTrue="1" operator="equal">
      <formula>"自动"</formula>
      <formula>"自动"</formula>
    </cfRule>
    <cfRule type="cellIs" dxfId="26" priority="4" stopIfTrue="1" operator="equal">
      <formula>"Fail"</formula>
      <formula>"Fail"</formula>
    </cfRule>
    <cfRule type="cellIs" dxfId="25" priority="5" stopIfTrue="1" operator="equal">
      <formula>"Pass"</formula>
      <formula>"Pass"</formula>
    </cfRule>
  </conditionalFormatting>
  <conditionalFormatting sqref="K7:K17">
    <cfRule type="cellIs" dxfId="24" priority="2" stopIfTrue="1" operator="equal">
      <formula>"Pass"</formula>
      <formula>"Pass"</formula>
    </cfRule>
    <cfRule type="cellIs" dxfId="23" priority="3" stopIfTrue="1" operator="equal">
      <formula>"Pass"</formula>
      <formula>"Pass"</formula>
    </cfRule>
  </conditionalFormatting>
  <pageMargins left="0.7" right="0.7" top="0.75" bottom="0.75" header="0.3" footer="0.3"/>
  <pageSetup paperSize="9" scale="6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DCAC"/>
  <dimension ref="A1:Z32"/>
  <sheetViews>
    <sheetView zoomScale="130" zoomScaleNormal="130" workbookViewId="0"/>
  </sheetViews>
  <sheetFormatPr defaultColWidth="9" defaultRowHeight="14.25"/>
  <cols>
    <col min="1" max="1" width="13" style="427" customWidth="1"/>
    <col min="2" max="2" width="9" style="427"/>
    <col min="3" max="3" width="13.5" style="427" customWidth="1"/>
    <col min="4" max="4" width="18.5" style="427" customWidth="1"/>
    <col min="5" max="5" width="9" style="427"/>
    <col min="6" max="6" width="23.125" style="427" customWidth="1"/>
    <col min="7" max="7" width="20.75" style="427" customWidth="1"/>
    <col min="8" max="8" width="10" style="427" customWidth="1"/>
    <col min="9" max="9" width="9" style="427"/>
    <col min="10" max="10" width="43.875" style="427" customWidth="1"/>
    <col min="11" max="11" width="25.125" style="427" customWidth="1"/>
    <col min="12" max="12" width="26.125" style="427" customWidth="1"/>
    <col min="13" max="26" width="9" style="427"/>
  </cols>
  <sheetData>
    <row r="1" spans="1:26" s="309" customFormat="1" ht="12.75">
      <c r="A1" s="189" t="s">
        <v>0</v>
      </c>
      <c r="B1" s="190" t="s">
        <v>1</v>
      </c>
      <c r="C1" s="191" t="s">
        <v>2</v>
      </c>
      <c r="D1" s="192" t="s">
        <v>3</v>
      </c>
      <c r="E1" s="193"/>
      <c r="F1" s="194"/>
      <c r="G1" s="195"/>
      <c r="H1" s="195"/>
      <c r="I1" s="71"/>
      <c r="J1" s="194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spans="1:26" s="309" customFormat="1" ht="12.75">
      <c r="A2" s="197">
        <f>COUNTA(B7:B932)</f>
        <v>11</v>
      </c>
      <c r="B2" s="198">
        <f>COUNTIF(K16:K19,"Pass")</f>
        <v>0</v>
      </c>
      <c r="C2" s="199">
        <f>COUNTIF(K16:K19,"Fail")</f>
        <v>0</v>
      </c>
      <c r="D2" s="200">
        <f>COUNTIF(K16:K19,"Undef")</f>
        <v>0</v>
      </c>
      <c r="E2" s="201"/>
      <c r="F2" s="194"/>
      <c r="G2" s="202"/>
      <c r="H2" s="202"/>
      <c r="I2" s="71"/>
      <c r="J2" s="194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</row>
    <row r="3" spans="1:26" s="309" customFormat="1" ht="12.75">
      <c r="A3" s="203"/>
      <c r="B3" s="203"/>
      <c r="C3" s="203"/>
      <c r="D3" s="194"/>
      <c r="E3" s="203"/>
      <c r="F3" s="194"/>
      <c r="G3" s="202"/>
      <c r="H3" s="202"/>
      <c r="I3" s="196"/>
      <c r="J3" s="204"/>
      <c r="K3" s="71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  <c r="Z3" s="196"/>
    </row>
    <row r="4" spans="1:26" s="309" customFormat="1" ht="12.75">
      <c r="A4" s="435"/>
      <c r="B4" s="436"/>
      <c r="C4" s="17" t="s">
        <v>5</v>
      </c>
      <c r="D4" s="437" t="s">
        <v>6</v>
      </c>
      <c r="E4" s="438"/>
      <c r="F4" s="17"/>
      <c r="G4" s="18"/>
      <c r="H4" s="18"/>
      <c r="I4" s="468"/>
      <c r="J4" s="440"/>
      <c r="K4" s="440"/>
      <c r="L4" s="205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 spans="1:26" s="309" customFormat="1" ht="12.75">
      <c r="A5" s="441"/>
      <c r="B5" s="442"/>
      <c r="C5" s="442"/>
      <c r="D5" s="442"/>
      <c r="E5" s="442"/>
      <c r="F5" s="17" t="s">
        <v>7</v>
      </c>
      <c r="G5" s="20"/>
      <c r="H5" s="20"/>
      <c r="I5" s="468"/>
      <c r="J5" s="440"/>
      <c r="K5" s="440"/>
      <c r="L5" s="205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 spans="1:26" s="309" customFormat="1" ht="12.75">
      <c r="A6" s="21" t="s">
        <v>8</v>
      </c>
      <c r="B6" s="22" t="s">
        <v>9</v>
      </c>
      <c r="C6" s="21" t="s">
        <v>10</v>
      </c>
      <c r="D6" s="22" t="s">
        <v>11</v>
      </c>
      <c r="E6" s="21"/>
      <c r="F6" s="22" t="s">
        <v>13</v>
      </c>
      <c r="G6" s="23" t="s">
        <v>651</v>
      </c>
      <c r="H6" s="24"/>
      <c r="I6" s="21"/>
      <c r="J6" s="23" t="s">
        <v>652</v>
      </c>
      <c r="K6" s="25" t="s">
        <v>653</v>
      </c>
      <c r="L6" s="2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 spans="1:26" s="425" customFormat="1" ht="63.75" customHeight="1">
      <c r="A7" s="462" t="s">
        <v>251</v>
      </c>
      <c r="B7" s="206" t="s">
        <v>252</v>
      </c>
      <c r="C7" s="207" t="s">
        <v>253</v>
      </c>
      <c r="D7" s="207" t="s">
        <v>254</v>
      </c>
      <c r="E7" s="208"/>
      <c r="F7" s="209" t="s">
        <v>255</v>
      </c>
      <c r="G7" s="209" t="s">
        <v>89</v>
      </c>
      <c r="H7" s="206"/>
      <c r="I7" s="206"/>
      <c r="J7" s="209" t="s">
        <v>256</v>
      </c>
      <c r="K7" s="208"/>
      <c r="L7" s="206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</row>
    <row r="8" spans="1:26" s="426" customFormat="1" ht="33.75" customHeight="1">
      <c r="A8" s="463"/>
      <c r="B8" s="211"/>
      <c r="C8" s="211"/>
      <c r="D8" s="211"/>
      <c r="E8" s="211"/>
      <c r="F8" s="212"/>
      <c r="G8" s="212" t="s">
        <v>257</v>
      </c>
      <c r="H8" s="211"/>
      <c r="I8" s="211"/>
      <c r="J8" s="213" t="s">
        <v>258</v>
      </c>
      <c r="K8" s="211"/>
      <c r="L8" s="211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</row>
    <row r="9" spans="1:26" s="426" customFormat="1" ht="33.75" customHeight="1">
      <c r="A9" s="463"/>
      <c r="B9" s="211"/>
      <c r="C9" s="211"/>
      <c r="D9" s="211"/>
      <c r="E9" s="211"/>
      <c r="F9" s="212"/>
      <c r="G9" s="212" t="s">
        <v>259</v>
      </c>
      <c r="H9" s="211"/>
      <c r="I9" s="211"/>
      <c r="J9" s="213" t="s">
        <v>260</v>
      </c>
      <c r="K9" s="211"/>
      <c r="L9" s="211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</row>
    <row r="10" spans="1:26" s="426" customFormat="1" ht="33.75" customHeight="1">
      <c r="A10" s="464"/>
      <c r="B10" s="211"/>
      <c r="C10" s="211"/>
      <c r="D10" s="211"/>
      <c r="E10" s="211"/>
      <c r="F10" s="212"/>
      <c r="G10" s="212" t="s">
        <v>261</v>
      </c>
      <c r="H10" s="211"/>
      <c r="I10" s="211"/>
      <c r="J10" s="213" t="s">
        <v>262</v>
      </c>
      <c r="K10" s="211"/>
      <c r="L10" s="211"/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</row>
    <row r="11" spans="1:26" s="426" customFormat="1" ht="51.75" customHeight="1">
      <c r="A11" s="465" t="s">
        <v>263</v>
      </c>
      <c r="B11" s="206" t="s">
        <v>264</v>
      </c>
      <c r="C11" s="214" t="s">
        <v>265</v>
      </c>
      <c r="D11" s="207" t="s">
        <v>266</v>
      </c>
      <c r="E11" s="211"/>
      <c r="F11" s="209" t="s">
        <v>267</v>
      </c>
      <c r="G11" s="209" t="s">
        <v>268</v>
      </c>
      <c r="H11" s="211"/>
      <c r="I11" s="211"/>
      <c r="J11" s="209" t="s">
        <v>269</v>
      </c>
      <c r="K11" s="211"/>
      <c r="L11" s="211"/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</row>
    <row r="12" spans="1:26" s="426" customFormat="1" ht="33.75" customHeight="1">
      <c r="A12" s="463"/>
      <c r="B12" s="211"/>
      <c r="C12" s="215"/>
      <c r="D12" s="211"/>
      <c r="E12" s="211"/>
      <c r="F12" s="212"/>
      <c r="G12" s="212" t="s">
        <v>270</v>
      </c>
      <c r="H12" s="211"/>
      <c r="I12" s="211"/>
      <c r="J12" s="213" t="s">
        <v>271</v>
      </c>
      <c r="K12" s="211"/>
      <c r="L12" s="211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</row>
    <row r="13" spans="1:26" s="426" customFormat="1" ht="72" customHeight="1">
      <c r="A13" s="463"/>
      <c r="B13" s="211"/>
      <c r="C13" s="211"/>
      <c r="D13" s="211"/>
      <c r="E13" s="211"/>
      <c r="F13" s="212"/>
      <c r="G13" s="212" t="s">
        <v>272</v>
      </c>
      <c r="H13" s="211"/>
      <c r="I13" s="211"/>
      <c r="J13" s="213" t="s">
        <v>273</v>
      </c>
      <c r="K13" s="211"/>
      <c r="L13" s="211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</row>
    <row r="14" spans="1:26" s="426" customFormat="1" ht="33.75" customHeight="1">
      <c r="A14" s="464"/>
      <c r="B14" s="211"/>
      <c r="C14" s="211"/>
      <c r="D14" s="211"/>
      <c r="E14" s="211"/>
      <c r="F14" s="212"/>
      <c r="G14" s="212" t="s">
        <v>261</v>
      </c>
      <c r="H14" s="211"/>
      <c r="I14" s="211"/>
      <c r="J14" s="213" t="s">
        <v>274</v>
      </c>
      <c r="K14" s="211"/>
      <c r="L14" s="211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</row>
    <row r="15" spans="1:26" s="426" customFormat="1" ht="33.75" customHeight="1">
      <c r="A15" s="466" t="s">
        <v>275</v>
      </c>
      <c r="B15" s="207" t="s">
        <v>276</v>
      </c>
      <c r="C15" s="207" t="s">
        <v>277</v>
      </c>
      <c r="D15" s="207" t="s">
        <v>278</v>
      </c>
      <c r="E15" s="211"/>
      <c r="F15" s="209" t="s">
        <v>279</v>
      </c>
      <c r="G15" s="209" t="s">
        <v>280</v>
      </c>
      <c r="H15" s="211"/>
      <c r="I15" s="211"/>
      <c r="J15" s="216" t="s">
        <v>281</v>
      </c>
      <c r="K15" s="211"/>
      <c r="L15" s="211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</row>
    <row r="16" spans="1:26" s="425" customFormat="1" ht="33.75" customHeight="1">
      <c r="A16" s="463"/>
      <c r="B16" s="217"/>
      <c r="C16" s="217"/>
      <c r="D16" s="217"/>
      <c r="E16" s="208"/>
      <c r="F16" s="217"/>
      <c r="G16" s="216" t="s">
        <v>270</v>
      </c>
      <c r="H16" s="206"/>
      <c r="I16" s="206"/>
      <c r="J16" s="216" t="s">
        <v>282</v>
      </c>
      <c r="K16" s="208"/>
      <c r="L16" s="206"/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</row>
    <row r="17" spans="1:26" s="425" customFormat="1" ht="61.5" customHeight="1">
      <c r="A17" s="463"/>
      <c r="B17" s="217"/>
      <c r="C17" s="217"/>
      <c r="D17" s="217"/>
      <c r="E17" s="208"/>
      <c r="F17" s="217"/>
      <c r="G17" s="216" t="s">
        <v>283</v>
      </c>
      <c r="H17" s="206"/>
      <c r="I17" s="206"/>
      <c r="J17" s="209" t="s">
        <v>284</v>
      </c>
      <c r="K17" s="208"/>
      <c r="L17" s="206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</row>
    <row r="18" spans="1:26" s="426" customFormat="1" ht="54.75" customHeight="1">
      <c r="A18" s="464"/>
      <c r="B18" s="218"/>
      <c r="C18" s="218"/>
      <c r="D18" s="218"/>
      <c r="E18" s="211"/>
      <c r="F18" s="212"/>
      <c r="G18" s="212" t="s">
        <v>261</v>
      </c>
      <c r="H18" s="211"/>
      <c r="I18" s="211"/>
      <c r="J18" s="212" t="s">
        <v>285</v>
      </c>
      <c r="K18" s="211"/>
      <c r="L18" s="211"/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</row>
    <row r="19" spans="1:26" s="425" customFormat="1" ht="54.75" customHeight="1">
      <c r="A19" s="465" t="s">
        <v>286</v>
      </c>
      <c r="B19" s="207" t="s">
        <v>287</v>
      </c>
      <c r="C19" s="207" t="s">
        <v>288</v>
      </c>
      <c r="D19" s="207" t="s">
        <v>289</v>
      </c>
      <c r="E19" s="208"/>
      <c r="F19" s="209" t="s">
        <v>290</v>
      </c>
      <c r="G19" s="209" t="s">
        <v>291</v>
      </c>
      <c r="H19" s="206"/>
      <c r="I19" s="206"/>
      <c r="J19" s="209" t="s">
        <v>292</v>
      </c>
      <c r="K19" s="208"/>
      <c r="L19" s="206"/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</row>
    <row r="20" spans="1:26" ht="28.5" customHeight="1">
      <c r="A20" s="463"/>
      <c r="B20" s="219"/>
      <c r="C20" s="219"/>
      <c r="D20" s="220"/>
      <c r="E20" s="221"/>
      <c r="F20" s="220"/>
      <c r="G20" s="220" t="s">
        <v>270</v>
      </c>
      <c r="H20" s="220"/>
      <c r="I20" s="219"/>
      <c r="J20" s="220" t="s">
        <v>293</v>
      </c>
      <c r="K20" s="221"/>
      <c r="L20" s="222"/>
    </row>
    <row r="21" spans="1:26" ht="25.5">
      <c r="A21" s="463"/>
      <c r="B21" s="219"/>
      <c r="C21" s="219"/>
      <c r="D21" s="220"/>
      <c r="E21" s="221"/>
      <c r="F21" s="220"/>
      <c r="G21" s="220" t="s">
        <v>272</v>
      </c>
      <c r="H21" s="220"/>
      <c r="I21" s="219"/>
      <c r="J21" s="220" t="s">
        <v>294</v>
      </c>
      <c r="K21" s="221"/>
      <c r="L21" s="222"/>
    </row>
    <row r="22" spans="1:26">
      <c r="A22" s="464"/>
      <c r="B22" s="219"/>
      <c r="C22" s="219"/>
      <c r="D22" s="220"/>
      <c r="E22" s="221"/>
      <c r="F22" s="220"/>
      <c r="G22" s="220" t="s">
        <v>261</v>
      </c>
      <c r="H22" s="223"/>
      <c r="I22" s="223"/>
      <c r="J22" s="224" t="s">
        <v>295</v>
      </c>
      <c r="K22" s="221"/>
      <c r="L22" s="222"/>
    </row>
    <row r="23" spans="1:26">
      <c r="A23" s="225"/>
      <c r="B23" s="226"/>
      <c r="C23" s="227"/>
      <c r="D23" s="228"/>
      <c r="E23" s="229"/>
      <c r="F23" s="228"/>
      <c r="G23" s="228"/>
      <c r="H23" s="228"/>
      <c r="I23" s="227"/>
      <c r="J23" s="228"/>
      <c r="K23" s="229"/>
      <c r="L23" s="230"/>
    </row>
    <row r="24" spans="1:26" ht="45" customHeight="1">
      <c r="A24" s="467" t="s">
        <v>296</v>
      </c>
      <c r="B24" s="231" t="s">
        <v>297</v>
      </c>
      <c r="C24" s="231" t="s">
        <v>298</v>
      </c>
      <c r="D24" s="231" t="s">
        <v>299</v>
      </c>
      <c r="E24" s="231"/>
      <c r="F24" s="231" t="s">
        <v>300</v>
      </c>
      <c r="G24" s="231" t="s">
        <v>301</v>
      </c>
      <c r="H24" s="231"/>
      <c r="I24" s="231"/>
      <c r="J24" s="231" t="s">
        <v>659</v>
      </c>
      <c r="K24" s="231"/>
      <c r="L24" s="231"/>
    </row>
    <row r="25" spans="1:26" ht="45" customHeight="1">
      <c r="A25" s="463"/>
      <c r="B25" s="231" t="s">
        <v>302</v>
      </c>
      <c r="C25" s="231" t="s">
        <v>303</v>
      </c>
      <c r="D25" s="231" t="s">
        <v>304</v>
      </c>
      <c r="E25" s="231"/>
      <c r="F25" s="231" t="s">
        <v>300</v>
      </c>
      <c r="G25" s="231" t="s">
        <v>305</v>
      </c>
      <c r="H25" s="231"/>
      <c r="I25" s="231"/>
      <c r="J25" s="231" t="s">
        <v>660</v>
      </c>
      <c r="K25" s="231"/>
      <c r="L25" s="231"/>
    </row>
    <row r="26" spans="1:26" ht="60" customHeight="1">
      <c r="A26" s="463"/>
      <c r="B26" s="231" t="s">
        <v>306</v>
      </c>
      <c r="C26" s="231" t="s">
        <v>307</v>
      </c>
      <c r="D26" s="231" t="s">
        <v>308</v>
      </c>
      <c r="E26" s="231"/>
      <c r="F26" s="231" t="s">
        <v>300</v>
      </c>
      <c r="G26" s="231" t="s">
        <v>309</v>
      </c>
      <c r="H26" s="231"/>
      <c r="I26" s="231"/>
      <c r="J26" s="232" t="s">
        <v>661</v>
      </c>
      <c r="K26" s="231"/>
      <c r="L26" s="231"/>
    </row>
    <row r="27" spans="1:26" ht="45" customHeight="1">
      <c r="A27" s="463"/>
      <c r="B27" s="231" t="s">
        <v>310</v>
      </c>
      <c r="C27" s="231" t="s">
        <v>311</v>
      </c>
      <c r="D27" s="231" t="s">
        <v>312</v>
      </c>
      <c r="E27" s="231"/>
      <c r="F27" s="231" t="s">
        <v>300</v>
      </c>
      <c r="G27" s="231" t="s">
        <v>313</v>
      </c>
      <c r="H27" s="231"/>
      <c r="I27" s="231"/>
      <c r="J27" s="232" t="s">
        <v>662</v>
      </c>
      <c r="K27" s="231"/>
      <c r="L27" s="231"/>
    </row>
    <row r="28" spans="1:26" ht="60" customHeight="1">
      <c r="A28" s="463"/>
      <c r="B28" s="231" t="s">
        <v>314</v>
      </c>
      <c r="C28" s="232" t="s">
        <v>315</v>
      </c>
      <c r="D28" s="231" t="s">
        <v>316</v>
      </c>
      <c r="E28" s="231"/>
      <c r="F28" s="231" t="s">
        <v>300</v>
      </c>
      <c r="G28" s="231" t="s">
        <v>301</v>
      </c>
      <c r="H28" s="231"/>
      <c r="I28" s="231"/>
      <c r="J28" s="232" t="s">
        <v>663</v>
      </c>
      <c r="K28" s="231"/>
      <c r="L28" s="231"/>
    </row>
    <row r="29" spans="1:26" ht="45" customHeight="1">
      <c r="A29" s="463"/>
      <c r="B29" s="231" t="s">
        <v>317</v>
      </c>
      <c r="C29" s="231" t="s">
        <v>318</v>
      </c>
      <c r="D29" s="231" t="s">
        <v>319</v>
      </c>
      <c r="E29" s="231"/>
      <c r="F29" s="231" t="s">
        <v>300</v>
      </c>
      <c r="G29" s="231" t="s">
        <v>320</v>
      </c>
      <c r="H29" s="231"/>
      <c r="I29" s="231"/>
      <c r="J29" s="232" t="s">
        <v>664</v>
      </c>
      <c r="K29" s="231"/>
      <c r="L29" s="231"/>
    </row>
    <row r="30" spans="1:26" ht="60" customHeight="1">
      <c r="A30" s="463"/>
      <c r="B30" s="231" t="s">
        <v>321</v>
      </c>
      <c r="C30" s="231" t="s">
        <v>322</v>
      </c>
      <c r="D30" s="231" t="s">
        <v>323</v>
      </c>
      <c r="E30" s="231"/>
      <c r="F30" s="231" t="s">
        <v>300</v>
      </c>
      <c r="G30" s="231" t="s">
        <v>324</v>
      </c>
      <c r="H30" s="231"/>
      <c r="I30" s="231"/>
      <c r="J30" s="232" t="s">
        <v>665</v>
      </c>
      <c r="K30" s="231"/>
      <c r="L30" s="231"/>
    </row>
    <row r="32" spans="1:26" ht="51">
      <c r="A32" s="223" t="s">
        <v>325</v>
      </c>
      <c r="B32" s="223"/>
      <c r="C32" s="233" t="s">
        <v>326</v>
      </c>
      <c r="D32" s="233" t="s">
        <v>327</v>
      </c>
      <c r="E32" s="223"/>
      <c r="F32" s="234" t="s">
        <v>328</v>
      </c>
      <c r="G32" s="234" t="s">
        <v>22</v>
      </c>
      <c r="H32" s="223"/>
      <c r="I32" s="223"/>
      <c r="J32" s="235" t="s">
        <v>329</v>
      </c>
    </row>
  </sheetData>
  <mergeCells count="10">
    <mergeCell ref="A4:B4"/>
    <mergeCell ref="D4:E4"/>
    <mergeCell ref="I4:K4"/>
    <mergeCell ref="A5:E5"/>
    <mergeCell ref="I5:K5"/>
    <mergeCell ref="A7:A10"/>
    <mergeCell ref="A11:A14"/>
    <mergeCell ref="A15:A18"/>
    <mergeCell ref="A19:A22"/>
    <mergeCell ref="A24:A30"/>
  </mergeCells>
  <phoneticPr fontId="84" type="noConversion"/>
  <conditionalFormatting sqref="F1:H2 J1:J2">
    <cfRule type="cellIs" dxfId="22" priority="6" stopIfTrue="1" operator="equal">
      <formula>"自动"</formula>
      <formula>"自动"</formula>
    </cfRule>
  </conditionalFormatting>
  <conditionalFormatting sqref="K6:K23">
    <cfRule type="cellIs" dxfId="21" priority="1" stopIfTrue="1" operator="equal">
      <formula>"自动"</formula>
      <formula>"自动"</formula>
    </cfRule>
    <cfRule type="cellIs" dxfId="20" priority="4" stopIfTrue="1" operator="equal">
      <formula>"Fail"</formula>
      <formula>"Fail"</formula>
    </cfRule>
    <cfRule type="cellIs" dxfId="19" priority="5" stopIfTrue="1" operator="equal">
      <formula>"Pass"</formula>
      <formula>"Pass"</formula>
    </cfRule>
  </conditionalFormatting>
  <conditionalFormatting sqref="K7:K23">
    <cfRule type="cellIs" dxfId="18" priority="2" stopIfTrue="1" operator="equal">
      <formula>"Pass"</formula>
      <formula>"Pass"</formula>
    </cfRule>
    <cfRule type="cellIs" dxfId="17" priority="3" stopIfTrue="1" operator="equal">
      <formula>"Pass"</formula>
      <formula>"Pass"</formula>
    </cfRule>
  </conditionalFormatting>
  <dataValidations count="2">
    <dataValidation type="list" allowBlank="1" showInputMessage="1" showErrorMessage="1" sqref="E21:E23" xr:uid="{00000000-0002-0000-0300-000000000000}">
      <formula1>"1-High,2-Normal,3-Low"</formula1>
    </dataValidation>
    <dataValidation type="list" allowBlank="1" showInputMessage="1" showErrorMessage="1" sqref="K20:K23" xr:uid="{00000000-0002-0000-0300-000001000000}">
      <formula1>"Pass,Fail,Undef"</formula1>
    </dataValidation>
  </dataValidations>
  <pageMargins left="0.7" right="0.7" top="0.75" bottom="0.75" header="0.3" footer="0.3"/>
  <pageSetup paperSize="9" scale="6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整车控制"/>
  <dimension ref="A1:Y33"/>
  <sheetViews>
    <sheetView tabSelected="1" topLeftCell="A7" zoomScale="130" zoomScaleNormal="130" workbookViewId="0"/>
  </sheetViews>
  <sheetFormatPr defaultColWidth="9" defaultRowHeight="14.25"/>
  <cols>
    <col min="1" max="1" width="13" style="264" customWidth="1"/>
    <col min="2" max="2" width="9" style="264"/>
    <col min="3" max="3" width="13.5" style="264" customWidth="1"/>
    <col min="4" max="4" width="18.5" style="264" customWidth="1"/>
    <col min="5" max="5" width="9" style="264"/>
    <col min="6" max="6" width="23.125" style="264" customWidth="1"/>
    <col min="7" max="7" width="26.125" style="264" customWidth="1"/>
    <col min="8" max="8" width="10" style="264" customWidth="1"/>
    <col min="9" max="9" width="43.875" style="264" customWidth="1"/>
    <col min="10" max="10" width="9" style="264"/>
    <col min="11" max="11" width="26.125" style="264" customWidth="1"/>
    <col min="12" max="25" width="9" style="264"/>
  </cols>
  <sheetData>
    <row r="1" spans="1:25" s="309" customFormat="1" ht="12.75">
      <c r="A1" s="236" t="s">
        <v>0</v>
      </c>
      <c r="B1" s="237" t="s">
        <v>1</v>
      </c>
      <c r="C1" s="238" t="s">
        <v>2</v>
      </c>
      <c r="D1" s="192" t="s">
        <v>3</v>
      </c>
      <c r="E1" s="239"/>
      <c r="F1" s="194"/>
      <c r="G1" s="195"/>
      <c r="H1" s="195"/>
      <c r="I1" s="194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</row>
    <row r="2" spans="1:25" s="309" customFormat="1" ht="12.75">
      <c r="A2" s="241">
        <f>COUNTA(B7:B767)</f>
        <v>12</v>
      </c>
      <c r="B2" s="242" t="e">
        <f>COUNTIF(#REF!,"Pass")</f>
        <v>#REF!</v>
      </c>
      <c r="C2" s="243" t="e">
        <f>COUNTIF(#REF!,"Fail")</f>
        <v>#REF!</v>
      </c>
      <c r="D2" s="200" t="e">
        <f>COUNTIF(#REF!,"Undef")</f>
        <v>#REF!</v>
      </c>
      <c r="E2" s="244"/>
      <c r="F2" s="194"/>
      <c r="G2" s="202"/>
      <c r="H2" s="202"/>
      <c r="I2" s="194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</row>
    <row r="3" spans="1:25" s="309" customFormat="1" ht="12.75">
      <c r="A3" s="194"/>
      <c r="B3" s="194"/>
      <c r="C3" s="194"/>
      <c r="D3" s="194"/>
      <c r="E3" s="194"/>
      <c r="F3" s="194"/>
      <c r="G3" s="202"/>
      <c r="H3" s="202"/>
      <c r="I3" s="204"/>
      <c r="J3" s="245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</row>
    <row r="4" spans="1:25" s="309" customFormat="1" ht="25.5" customHeight="1">
      <c r="A4" s="435"/>
      <c r="B4" s="472"/>
      <c r="C4" s="17" t="s">
        <v>5</v>
      </c>
      <c r="D4" s="437" t="s">
        <v>6</v>
      </c>
      <c r="E4" s="473"/>
      <c r="F4" s="17"/>
      <c r="G4" s="18"/>
      <c r="H4" s="18"/>
      <c r="I4" s="475"/>
      <c r="J4" s="476"/>
      <c r="K4" s="246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</row>
    <row r="5" spans="1:25" s="309" customFormat="1" ht="23.25" customHeight="1">
      <c r="A5" s="441"/>
      <c r="B5" s="474"/>
      <c r="C5" s="474"/>
      <c r="D5" s="474"/>
      <c r="E5" s="474"/>
      <c r="F5" s="17" t="s">
        <v>7</v>
      </c>
      <c r="G5" s="20"/>
      <c r="H5" s="20"/>
      <c r="I5" s="475"/>
      <c r="J5" s="476"/>
      <c r="K5" s="246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</row>
    <row r="6" spans="1:25" s="309" customFormat="1" ht="25.5" customHeight="1">
      <c r="A6" s="21" t="s">
        <v>8</v>
      </c>
      <c r="B6" s="22" t="s">
        <v>9</v>
      </c>
      <c r="C6" s="21" t="s">
        <v>10</v>
      </c>
      <c r="D6" s="22" t="s">
        <v>11</v>
      </c>
      <c r="E6" s="21"/>
      <c r="F6" s="22" t="s">
        <v>13</v>
      </c>
      <c r="G6" s="23" t="s">
        <v>654</v>
      </c>
      <c r="H6" s="24" t="s">
        <v>14</v>
      </c>
      <c r="I6" s="23" t="s">
        <v>655</v>
      </c>
      <c r="J6" s="25" t="s">
        <v>656</v>
      </c>
      <c r="K6" s="247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</row>
    <row r="7" spans="1:25" s="428" customFormat="1" ht="60.75" customHeight="1">
      <c r="A7" s="469" t="s">
        <v>356</v>
      </c>
      <c r="B7" s="248" t="s">
        <v>357</v>
      </c>
      <c r="C7" s="248" t="s">
        <v>358</v>
      </c>
      <c r="D7" s="248" t="s">
        <v>359</v>
      </c>
      <c r="E7" s="248" t="s">
        <v>21</v>
      </c>
      <c r="F7" s="249" t="s">
        <v>360</v>
      </c>
      <c r="G7" s="249" t="s">
        <v>361</v>
      </c>
      <c r="H7" s="248"/>
      <c r="I7" s="250" t="s">
        <v>362</v>
      </c>
      <c r="J7" s="251"/>
      <c r="K7" s="252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</row>
    <row r="8" spans="1:25" s="428" customFormat="1" ht="60.75" customHeight="1">
      <c r="A8" s="463"/>
      <c r="B8" s="254" t="s">
        <v>363</v>
      </c>
      <c r="C8" s="254" t="s">
        <v>364</v>
      </c>
      <c r="D8" s="254" t="s">
        <v>365</v>
      </c>
      <c r="E8" s="248" t="s">
        <v>21</v>
      </c>
      <c r="F8" s="254" t="s">
        <v>360</v>
      </c>
      <c r="G8" s="254" t="s">
        <v>366</v>
      </c>
      <c r="H8" s="248"/>
      <c r="I8" s="250" t="s">
        <v>367</v>
      </c>
      <c r="J8" s="251"/>
      <c r="K8" s="252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</row>
    <row r="9" spans="1:25" s="429" customFormat="1" ht="60.75" customHeight="1">
      <c r="A9" s="463"/>
      <c r="B9" s="250" t="s">
        <v>368</v>
      </c>
      <c r="C9" s="250" t="s">
        <v>369</v>
      </c>
      <c r="D9" s="250" t="s">
        <v>370</v>
      </c>
      <c r="E9" s="250" t="s">
        <v>21</v>
      </c>
      <c r="F9" s="250" t="s">
        <v>371</v>
      </c>
      <c r="G9" s="250" t="s">
        <v>372</v>
      </c>
      <c r="H9" s="250"/>
      <c r="I9" s="250" t="s">
        <v>373</v>
      </c>
      <c r="J9" s="255"/>
      <c r="K9" s="256"/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</row>
    <row r="10" spans="1:25" s="429" customFormat="1" ht="60.75" customHeight="1">
      <c r="A10" s="463"/>
      <c r="B10" s="250" t="s">
        <v>374</v>
      </c>
      <c r="C10" s="250" t="s">
        <v>375</v>
      </c>
      <c r="D10" s="250" t="s">
        <v>376</v>
      </c>
      <c r="E10" s="250" t="s">
        <v>21</v>
      </c>
      <c r="F10" s="250" t="s">
        <v>377</v>
      </c>
      <c r="G10" s="250" t="s">
        <v>372</v>
      </c>
      <c r="H10" s="250"/>
      <c r="I10" s="250" t="s">
        <v>378</v>
      </c>
      <c r="J10" s="255"/>
      <c r="K10" s="256"/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</row>
    <row r="11" spans="1:25" s="429" customFormat="1" ht="60.75" customHeight="1">
      <c r="A11" s="463"/>
      <c r="B11" s="258" t="s">
        <v>379</v>
      </c>
      <c r="C11" s="258" t="s">
        <v>380</v>
      </c>
      <c r="D11" s="258" t="s">
        <v>381</v>
      </c>
      <c r="E11" s="258" t="s">
        <v>21</v>
      </c>
      <c r="F11" s="258" t="s">
        <v>377</v>
      </c>
      <c r="G11" s="258" t="s">
        <v>382</v>
      </c>
      <c r="H11" s="258"/>
      <c r="I11" s="250" t="s">
        <v>383</v>
      </c>
      <c r="J11" s="259"/>
      <c r="K11" s="257"/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X11" s="257"/>
      <c r="Y11" s="257"/>
    </row>
    <row r="12" spans="1:25" s="429" customFormat="1" ht="60.75" customHeight="1">
      <c r="A12" s="463"/>
      <c r="B12" s="258" t="s">
        <v>384</v>
      </c>
      <c r="C12" s="258" t="s">
        <v>385</v>
      </c>
      <c r="D12" s="258" t="s">
        <v>386</v>
      </c>
      <c r="E12" s="258" t="s">
        <v>21</v>
      </c>
      <c r="F12" s="258" t="s">
        <v>387</v>
      </c>
      <c r="G12" s="258" t="s">
        <v>388</v>
      </c>
      <c r="H12" s="258"/>
      <c r="I12" s="250" t="s">
        <v>389</v>
      </c>
      <c r="J12" s="259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X12" s="257"/>
      <c r="Y12" s="257"/>
    </row>
    <row r="13" spans="1:25" s="429" customFormat="1" ht="60.75" customHeight="1">
      <c r="A13" s="463"/>
      <c r="B13" s="258" t="s">
        <v>390</v>
      </c>
      <c r="C13" s="258" t="s">
        <v>391</v>
      </c>
      <c r="D13" s="258" t="s">
        <v>392</v>
      </c>
      <c r="E13" s="258" t="s">
        <v>21</v>
      </c>
      <c r="F13" s="258" t="s">
        <v>377</v>
      </c>
      <c r="G13" s="258" t="s">
        <v>393</v>
      </c>
      <c r="H13" s="258"/>
      <c r="I13" s="250" t="s">
        <v>394</v>
      </c>
      <c r="J13" s="259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</row>
    <row r="15" spans="1:25" ht="45" customHeight="1">
      <c r="A15" s="470" t="s">
        <v>395</v>
      </c>
      <c r="B15" s="258" t="s">
        <v>396</v>
      </c>
      <c r="C15" s="258" t="s">
        <v>397</v>
      </c>
      <c r="D15" s="258" t="s">
        <v>398</v>
      </c>
      <c r="E15" s="258" t="s">
        <v>21</v>
      </c>
      <c r="F15" s="258" t="s">
        <v>399</v>
      </c>
      <c r="G15" s="250" t="s">
        <v>400</v>
      </c>
      <c r="H15" s="258"/>
      <c r="I15" s="250" t="s">
        <v>401</v>
      </c>
      <c r="J15" s="260"/>
      <c r="K15" s="260"/>
    </row>
    <row r="16" spans="1:25" ht="45" customHeight="1">
      <c r="A16" s="464"/>
      <c r="B16" s="258" t="s">
        <v>402</v>
      </c>
      <c r="C16" s="258" t="s">
        <v>403</v>
      </c>
      <c r="D16" s="258" t="s">
        <v>404</v>
      </c>
      <c r="E16" s="258" t="s">
        <v>21</v>
      </c>
      <c r="F16" s="258" t="s">
        <v>405</v>
      </c>
      <c r="G16" s="250" t="s">
        <v>406</v>
      </c>
      <c r="H16" s="258"/>
      <c r="I16" s="250" t="s">
        <v>407</v>
      </c>
      <c r="J16" s="260"/>
      <c r="K16" s="260"/>
    </row>
    <row r="17" spans="1:11" ht="42.75">
      <c r="A17" s="250" t="s">
        <v>408</v>
      </c>
      <c r="B17" s="258" t="s">
        <v>409</v>
      </c>
      <c r="C17" s="258" t="s">
        <v>410</v>
      </c>
      <c r="D17" s="258" t="s">
        <v>411</v>
      </c>
      <c r="E17" s="258" t="s">
        <v>21</v>
      </c>
      <c r="F17" s="258" t="s">
        <v>405</v>
      </c>
      <c r="G17" s="250" t="s">
        <v>406</v>
      </c>
      <c r="H17" s="258"/>
      <c r="I17" s="250" t="s">
        <v>412</v>
      </c>
      <c r="J17" s="260"/>
      <c r="K17" s="260"/>
    </row>
    <row r="18" spans="1:11">
      <c r="A18" s="258"/>
      <c r="B18" s="258"/>
      <c r="C18" s="258" t="s">
        <v>413</v>
      </c>
      <c r="D18" s="258" t="s">
        <v>414</v>
      </c>
      <c r="E18" s="258" t="s">
        <v>21</v>
      </c>
      <c r="F18" s="258" t="s">
        <v>399</v>
      </c>
      <c r="G18" s="250" t="s">
        <v>415</v>
      </c>
      <c r="H18" s="258"/>
      <c r="I18" s="258" t="s">
        <v>416</v>
      </c>
      <c r="J18" s="260"/>
      <c r="K18" s="260"/>
    </row>
    <row r="19" spans="1:11" ht="42.75">
      <c r="A19" s="258" t="s">
        <v>417</v>
      </c>
      <c r="B19" s="258" t="s">
        <v>418</v>
      </c>
      <c r="C19" s="258" t="s">
        <v>419</v>
      </c>
      <c r="D19" s="258" t="s">
        <v>420</v>
      </c>
      <c r="E19" s="258" t="s">
        <v>21</v>
      </c>
      <c r="F19" s="258" t="s">
        <v>421</v>
      </c>
      <c r="G19" s="258" t="s">
        <v>422</v>
      </c>
      <c r="H19" s="258"/>
      <c r="I19" s="258" t="s">
        <v>423</v>
      </c>
      <c r="J19" s="260"/>
      <c r="K19" s="260"/>
    </row>
    <row r="20" spans="1:11" ht="42.75">
      <c r="A20" s="261" t="s">
        <v>424</v>
      </c>
      <c r="B20" s="261" t="s">
        <v>425</v>
      </c>
      <c r="C20" s="262" t="s">
        <v>426</v>
      </c>
      <c r="D20" s="261" t="s">
        <v>427</v>
      </c>
      <c r="E20" s="261" t="s">
        <v>21</v>
      </c>
      <c r="F20" s="261" t="s">
        <v>428</v>
      </c>
      <c r="G20" s="261" t="s">
        <v>429</v>
      </c>
      <c r="H20" s="261"/>
      <c r="I20" s="261" t="s">
        <v>430</v>
      </c>
      <c r="J20" s="260"/>
      <c r="K20" s="260"/>
    </row>
    <row r="21" spans="1:11">
      <c r="A21" s="231"/>
      <c r="B21" s="231"/>
      <c r="C21" s="263" t="s">
        <v>431</v>
      </c>
      <c r="D21" s="235" t="s">
        <v>432</v>
      </c>
      <c r="E21" s="258" t="s">
        <v>21</v>
      </c>
      <c r="F21" s="258" t="s">
        <v>433</v>
      </c>
      <c r="G21" s="231" t="s">
        <v>434</v>
      </c>
      <c r="H21" s="231"/>
      <c r="I21" s="231" t="s">
        <v>435</v>
      </c>
      <c r="J21" s="260"/>
      <c r="K21" s="260"/>
    </row>
    <row r="22" spans="1:11">
      <c r="J22" s="260"/>
      <c r="K22" s="260"/>
    </row>
    <row r="23" spans="1:11" ht="28.5">
      <c r="A23" s="235" t="s">
        <v>436</v>
      </c>
      <c r="B23" s="231"/>
      <c r="C23" s="235" t="s">
        <v>437</v>
      </c>
      <c r="D23" s="258" t="s">
        <v>438</v>
      </c>
      <c r="E23" s="258" t="s">
        <v>21</v>
      </c>
      <c r="F23" s="258" t="s">
        <v>439</v>
      </c>
      <c r="G23" s="258" t="s">
        <v>440</v>
      </c>
      <c r="H23" s="258"/>
      <c r="I23" s="258" t="s">
        <v>441</v>
      </c>
      <c r="J23" s="260"/>
      <c r="K23" s="260"/>
    </row>
    <row r="25" spans="1:11" ht="66" customHeight="1">
      <c r="A25" s="471" t="s">
        <v>442</v>
      </c>
      <c r="B25" s="266"/>
      <c r="C25" s="267" t="s">
        <v>443</v>
      </c>
      <c r="D25" s="268" t="s">
        <v>444</v>
      </c>
      <c r="E25" s="266"/>
      <c r="F25" s="266" t="s">
        <v>445</v>
      </c>
      <c r="G25" s="266" t="s">
        <v>446</v>
      </c>
      <c r="H25" s="266"/>
      <c r="I25" s="268" t="s">
        <v>447</v>
      </c>
    </row>
    <row r="26" spans="1:11" ht="66" customHeight="1">
      <c r="A26" s="433"/>
      <c r="B26" s="266"/>
      <c r="C26" s="267" t="s">
        <v>448</v>
      </c>
      <c r="D26" s="268" t="s">
        <v>449</v>
      </c>
      <c r="E26" s="266"/>
      <c r="F26" s="268" t="s">
        <v>450</v>
      </c>
      <c r="G26" s="268" t="s">
        <v>451</v>
      </c>
      <c r="H26" s="266"/>
      <c r="I26" s="268" t="s">
        <v>452</v>
      </c>
    </row>
    <row r="27" spans="1:11" ht="76.5" customHeight="1">
      <c r="A27" s="433"/>
      <c r="B27" s="266"/>
      <c r="C27" s="267" t="s">
        <v>453</v>
      </c>
      <c r="D27" s="269" t="s">
        <v>444</v>
      </c>
      <c r="E27" s="266"/>
      <c r="F27" s="269" t="s">
        <v>454</v>
      </c>
      <c r="G27" s="266" t="s">
        <v>455</v>
      </c>
      <c r="H27" s="266"/>
      <c r="I27" s="268" t="s">
        <v>456</v>
      </c>
    </row>
    <row r="28" spans="1:11" ht="87.75" customHeight="1">
      <c r="A28" s="433"/>
      <c r="B28" s="266"/>
      <c r="C28" s="267" t="s">
        <v>457</v>
      </c>
      <c r="D28" s="268" t="s">
        <v>458</v>
      </c>
      <c r="E28" s="266"/>
      <c r="F28" s="268" t="s">
        <v>445</v>
      </c>
      <c r="G28" s="268" t="s">
        <v>459</v>
      </c>
      <c r="H28" s="266"/>
      <c r="I28" s="268" t="s">
        <v>460</v>
      </c>
    </row>
    <row r="29" spans="1:11" ht="66" customHeight="1">
      <c r="A29" s="433"/>
      <c r="B29" s="266"/>
      <c r="C29" s="268" t="s">
        <v>461</v>
      </c>
      <c r="D29" s="268" t="s">
        <v>462</v>
      </c>
      <c r="E29" s="266"/>
      <c r="F29" s="268" t="s">
        <v>463</v>
      </c>
      <c r="G29" s="268" t="s">
        <v>464</v>
      </c>
      <c r="H29" s="266"/>
      <c r="I29" s="268" t="s">
        <v>465</v>
      </c>
    </row>
    <row r="31" spans="1:11" ht="120" customHeight="1">
      <c r="A31" s="471" t="s">
        <v>466</v>
      </c>
      <c r="B31" s="270"/>
      <c r="C31" s="271" t="s">
        <v>467</v>
      </c>
      <c r="D31" s="265" t="s">
        <v>468</v>
      </c>
      <c r="E31" s="270"/>
      <c r="F31" s="265" t="s">
        <v>454</v>
      </c>
      <c r="G31" s="265" t="s">
        <v>469</v>
      </c>
      <c r="H31" s="270"/>
      <c r="I31" s="265" t="s">
        <v>470</v>
      </c>
    </row>
    <row r="32" spans="1:11" ht="99" customHeight="1">
      <c r="A32" s="433"/>
      <c r="B32" s="270"/>
      <c r="C32" s="265" t="s">
        <v>471</v>
      </c>
      <c r="D32" s="265" t="s">
        <v>472</v>
      </c>
      <c r="E32" s="270"/>
      <c r="F32" s="265" t="s">
        <v>454</v>
      </c>
      <c r="G32" s="265" t="s">
        <v>473</v>
      </c>
      <c r="H32" s="270"/>
      <c r="I32" s="265" t="s">
        <v>474</v>
      </c>
    </row>
    <row r="33" spans="1:9" ht="109.5" customHeight="1">
      <c r="A33" s="433"/>
      <c r="B33" s="270"/>
      <c r="C33" s="265" t="s">
        <v>475</v>
      </c>
      <c r="D33" s="265" t="s">
        <v>476</v>
      </c>
      <c r="E33" s="270"/>
      <c r="F33" s="265" t="s">
        <v>454</v>
      </c>
      <c r="G33" s="265" t="s">
        <v>477</v>
      </c>
      <c r="H33" s="270"/>
      <c r="I33" s="265" t="s">
        <v>478</v>
      </c>
    </row>
  </sheetData>
  <mergeCells count="9">
    <mergeCell ref="D4:E4"/>
    <mergeCell ref="A5:E5"/>
    <mergeCell ref="I4:J4"/>
    <mergeCell ref="I5:J5"/>
    <mergeCell ref="A7:A13"/>
    <mergeCell ref="A15:A16"/>
    <mergeCell ref="A25:A29"/>
    <mergeCell ref="A31:A33"/>
    <mergeCell ref="A4:B4"/>
  </mergeCells>
  <phoneticPr fontId="84" type="noConversion"/>
  <conditionalFormatting sqref="F1:I2">
    <cfRule type="cellIs" dxfId="16" priority="6" stopIfTrue="1" operator="equal">
      <formula>"自动"</formula>
      <formula>"自动"</formula>
    </cfRule>
  </conditionalFormatting>
  <conditionalFormatting sqref="J6:J8">
    <cfRule type="cellIs" dxfId="15" priority="1" stopIfTrue="1" operator="equal">
      <formula>"自动"</formula>
      <formula>"自动"</formula>
    </cfRule>
    <cfRule type="cellIs" dxfId="14" priority="4" stopIfTrue="1" operator="equal">
      <formula>"Fail"</formula>
      <formula>"Fail"</formula>
    </cfRule>
    <cfRule type="cellIs" dxfId="13" priority="5" stopIfTrue="1" operator="equal">
      <formula>"Pass"</formula>
      <formula>"Pass"</formula>
    </cfRule>
  </conditionalFormatting>
  <conditionalFormatting sqref="J7:J8">
    <cfRule type="cellIs" dxfId="12" priority="2" stopIfTrue="1" operator="equal">
      <formula>"Pass"</formula>
      <formula>"Pass"</formula>
    </cfRule>
    <cfRule type="cellIs" dxfId="11" priority="3" stopIfTrue="1" operator="equal">
      <formula>"Pass"</formula>
      <formula>"Pass"</formula>
    </cfRule>
  </conditionalFormatting>
  <pageMargins left="0.7" right="0.7" top="0.75" bottom="0.75" header="0.3" footer="0.3"/>
  <pageSetup paperSize="9" scale="6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热管理"/>
  <dimension ref="A1:K272"/>
  <sheetViews>
    <sheetView workbookViewId="0">
      <pane ySplit="6" topLeftCell="A7" activePane="bottomLeft" state="frozen"/>
      <selection pane="bottomLeft"/>
    </sheetView>
  </sheetViews>
  <sheetFormatPr defaultColWidth="9" defaultRowHeight="14.25"/>
  <cols>
    <col min="1" max="2" width="11.5" customWidth="1"/>
    <col min="3" max="3" width="16.75" style="430" customWidth="1"/>
    <col min="4" max="4" width="39.5" customWidth="1"/>
    <col min="5" max="5" width="7.625" customWidth="1"/>
    <col min="6" max="6" width="26.125" customWidth="1"/>
    <col min="7" max="7" width="32.875" customWidth="1"/>
    <col min="8" max="8" width="7.25" customWidth="1"/>
    <col min="9" max="9" width="35.75" customWidth="1"/>
    <col min="10" max="10" width="17.75" customWidth="1"/>
  </cols>
  <sheetData>
    <row r="1" spans="1:11" ht="15.75">
      <c r="A1" s="66" t="s">
        <v>0</v>
      </c>
      <c r="B1" s="67" t="s">
        <v>1</v>
      </c>
      <c r="C1" s="68" t="s">
        <v>2</v>
      </c>
      <c r="D1" s="69" t="s">
        <v>3</v>
      </c>
      <c r="E1" s="478" t="s">
        <v>4</v>
      </c>
      <c r="F1" s="479"/>
      <c r="G1" s="70"/>
      <c r="H1" s="70"/>
      <c r="I1" s="71"/>
      <c r="J1" s="72"/>
      <c r="K1" s="72"/>
    </row>
    <row r="2" spans="1:11" ht="15.75">
      <c r="A2" s="73">
        <f>COUNTA(B7:B886)</f>
        <v>8</v>
      </c>
      <c r="B2" s="74" t="e">
        <f>COUNTIF(#REF!,"Pass")</f>
        <v>#REF!</v>
      </c>
      <c r="C2" s="75" t="e">
        <f>COUNTIF(#REF!,"Fail")</f>
        <v>#REF!</v>
      </c>
      <c r="D2" s="76" t="e">
        <f>COUNTIF(#REF!,"Undef")</f>
        <v>#REF!</v>
      </c>
      <c r="E2" s="480" t="e">
        <f>B2/(B2+C2)</f>
        <v>#REF!</v>
      </c>
      <c r="F2" s="481"/>
      <c r="G2" s="77"/>
      <c r="H2" s="77"/>
      <c r="I2" s="71"/>
      <c r="J2" s="72"/>
      <c r="K2" s="72"/>
    </row>
    <row r="3" spans="1:11">
      <c r="A3" s="78"/>
      <c r="B3" s="78"/>
      <c r="C3" s="78"/>
      <c r="D3" s="79"/>
      <c r="E3" s="78"/>
      <c r="F3" s="78"/>
      <c r="G3" s="77"/>
      <c r="H3" s="77"/>
      <c r="I3" s="72"/>
      <c r="J3" s="71"/>
      <c r="K3" s="72"/>
    </row>
    <row r="4" spans="1:11">
      <c r="A4" s="482"/>
      <c r="B4" s="482"/>
      <c r="C4" s="80" t="s">
        <v>5</v>
      </c>
      <c r="D4" s="482" t="s">
        <v>6</v>
      </c>
      <c r="E4" s="482"/>
      <c r="F4" s="80"/>
      <c r="G4" s="81"/>
      <c r="H4" s="81"/>
      <c r="I4" s="477"/>
      <c r="J4" s="477"/>
      <c r="K4" s="82"/>
    </row>
    <row r="5" spans="1:11">
      <c r="A5" s="482"/>
      <c r="B5" s="482"/>
      <c r="C5" s="482"/>
      <c r="D5" s="482"/>
      <c r="E5" s="482"/>
      <c r="F5" s="80" t="s">
        <v>7</v>
      </c>
      <c r="G5" s="81"/>
      <c r="H5" s="81"/>
      <c r="I5" s="477"/>
      <c r="J5" s="477"/>
      <c r="K5" s="82"/>
    </row>
    <row r="6" spans="1:11">
      <c r="A6" s="83" t="s">
        <v>8</v>
      </c>
      <c r="B6" s="83" t="s">
        <v>9</v>
      </c>
      <c r="C6" s="83" t="s">
        <v>10</v>
      </c>
      <c r="D6" s="83" t="s">
        <v>11</v>
      </c>
      <c r="E6" s="83" t="s">
        <v>12</v>
      </c>
      <c r="F6" s="83" t="s">
        <v>13</v>
      </c>
      <c r="G6" s="84" t="s">
        <v>657</v>
      </c>
      <c r="H6" s="85" t="s">
        <v>14</v>
      </c>
      <c r="I6" s="83" t="s">
        <v>180</v>
      </c>
      <c r="J6" s="84" t="s">
        <v>658</v>
      </c>
      <c r="K6" s="86" t="s">
        <v>16</v>
      </c>
    </row>
    <row r="7" spans="1:11" ht="22.5">
      <c r="A7" s="87"/>
      <c r="B7" s="88" t="s">
        <v>181</v>
      </c>
      <c r="C7" s="89" t="s">
        <v>182</v>
      </c>
      <c r="D7" s="90" t="s">
        <v>183</v>
      </c>
      <c r="E7" s="91"/>
      <c r="F7" s="90" t="s">
        <v>184</v>
      </c>
      <c r="G7" s="90" t="s">
        <v>185</v>
      </c>
      <c r="H7" s="89"/>
      <c r="I7" s="92" t="s">
        <v>186</v>
      </c>
      <c r="J7" s="93" t="s">
        <v>187</v>
      </c>
      <c r="K7" s="94"/>
    </row>
    <row r="8" spans="1:11" ht="22.5">
      <c r="A8" s="87"/>
      <c r="B8" s="95" t="s">
        <v>188</v>
      </c>
      <c r="C8" s="96" t="s">
        <v>189</v>
      </c>
      <c r="D8" s="97" t="s">
        <v>183</v>
      </c>
      <c r="E8" s="96"/>
      <c r="F8" s="97" t="s">
        <v>184</v>
      </c>
      <c r="G8" s="98" t="s">
        <v>190</v>
      </c>
      <c r="H8" s="99"/>
      <c r="I8" s="97" t="s">
        <v>191</v>
      </c>
      <c r="J8" s="96"/>
      <c r="K8" s="94"/>
    </row>
    <row r="9" spans="1:11" ht="22.5">
      <c r="A9" s="87"/>
      <c r="B9" s="100"/>
      <c r="C9" s="101"/>
      <c r="D9" s="102"/>
      <c r="E9" s="101"/>
      <c r="F9" s="101"/>
      <c r="G9" s="103"/>
      <c r="H9" s="99"/>
      <c r="I9" s="97" t="s">
        <v>192</v>
      </c>
      <c r="J9" s="96"/>
      <c r="K9" s="94"/>
    </row>
    <row r="10" spans="1:11" ht="27.95" customHeight="1">
      <c r="A10" s="87"/>
      <c r="B10" s="104"/>
      <c r="C10" s="89"/>
      <c r="D10" s="90"/>
      <c r="E10" s="91"/>
      <c r="F10" s="90"/>
      <c r="G10" s="98"/>
      <c r="H10" s="99"/>
      <c r="I10" s="97" t="s">
        <v>193</v>
      </c>
      <c r="J10" s="96"/>
      <c r="K10" s="94"/>
    </row>
    <row r="11" spans="1:11" ht="17.25" customHeight="1">
      <c r="A11" s="87"/>
      <c r="B11" s="100"/>
      <c r="C11" s="96"/>
      <c r="D11" s="97"/>
      <c r="E11" s="96"/>
      <c r="F11" s="97"/>
      <c r="G11" s="98"/>
      <c r="H11" s="99"/>
      <c r="I11" s="97" t="s">
        <v>194</v>
      </c>
      <c r="J11" s="96"/>
      <c r="K11" s="94"/>
    </row>
    <row r="12" spans="1:11">
      <c r="A12" s="87"/>
      <c r="B12" s="100"/>
      <c r="C12" s="96"/>
      <c r="D12" s="97"/>
      <c r="E12" s="96"/>
      <c r="F12" s="97"/>
      <c r="G12" s="98"/>
      <c r="H12" s="99"/>
      <c r="I12" s="97" t="s">
        <v>195</v>
      </c>
      <c r="J12" s="96"/>
      <c r="K12" s="94"/>
    </row>
    <row r="13" spans="1:11">
      <c r="A13" s="87"/>
      <c r="B13" s="100"/>
      <c r="C13" s="96"/>
      <c r="D13" s="97"/>
      <c r="E13" s="96"/>
      <c r="F13" s="97"/>
      <c r="G13" s="90" t="s">
        <v>196</v>
      </c>
      <c r="H13" s="99"/>
      <c r="I13" s="97" t="s">
        <v>197</v>
      </c>
      <c r="J13" s="96"/>
      <c r="K13" s="94"/>
    </row>
    <row r="14" spans="1:11" ht="38.450000000000003" customHeight="1">
      <c r="A14" s="87"/>
      <c r="B14" s="95" t="s">
        <v>198</v>
      </c>
      <c r="C14" s="96" t="s">
        <v>199</v>
      </c>
      <c r="D14" s="97" t="s">
        <v>200</v>
      </c>
      <c r="E14" s="96"/>
      <c r="F14" s="97"/>
      <c r="G14" s="98" t="s">
        <v>201</v>
      </c>
      <c r="H14" s="99"/>
      <c r="I14" s="97" t="s">
        <v>202</v>
      </c>
      <c r="J14" s="96"/>
      <c r="K14" s="94"/>
    </row>
    <row r="15" spans="1:11" ht="22.5">
      <c r="A15" s="87"/>
      <c r="B15" s="100"/>
      <c r="C15" s="96"/>
      <c r="D15" s="97" t="s">
        <v>203</v>
      </c>
      <c r="E15" s="96"/>
      <c r="F15" s="97" t="s">
        <v>204</v>
      </c>
      <c r="G15" s="98" t="s">
        <v>205</v>
      </c>
      <c r="H15" s="99"/>
      <c r="I15" s="97" t="s">
        <v>206</v>
      </c>
      <c r="J15" s="96"/>
      <c r="K15" s="94"/>
    </row>
    <row r="16" spans="1:11" ht="22.5">
      <c r="A16" s="87"/>
      <c r="B16" s="95" t="s">
        <v>207</v>
      </c>
      <c r="C16" s="97" t="s">
        <v>208</v>
      </c>
      <c r="D16" s="97"/>
      <c r="E16" s="97"/>
      <c r="F16" s="97" t="s">
        <v>209</v>
      </c>
      <c r="G16" s="98" t="s">
        <v>210</v>
      </c>
      <c r="H16" s="99"/>
      <c r="I16" s="97" t="s">
        <v>211</v>
      </c>
      <c r="J16" s="96"/>
      <c r="K16" s="94"/>
    </row>
    <row r="17" spans="1:11" ht="22.5">
      <c r="A17" s="87"/>
      <c r="B17" s="105"/>
      <c r="C17" s="97"/>
      <c r="D17" s="97"/>
      <c r="E17" s="106"/>
      <c r="F17" s="97"/>
      <c r="G17" s="98"/>
      <c r="H17" s="98"/>
      <c r="I17" s="107" t="s">
        <v>212</v>
      </c>
      <c r="J17" s="96"/>
      <c r="K17" s="94"/>
    </row>
    <row r="18" spans="1:11" ht="35.25" customHeight="1">
      <c r="A18" s="87"/>
      <c r="B18" s="108"/>
      <c r="C18" s="109"/>
      <c r="D18" s="109"/>
      <c r="E18" s="110"/>
      <c r="F18" s="109"/>
      <c r="G18" s="109"/>
      <c r="H18" s="109"/>
      <c r="I18" s="107" t="s">
        <v>213</v>
      </c>
      <c r="J18" s="96"/>
      <c r="K18" s="94"/>
    </row>
    <row r="19" spans="1:11" ht="30" customHeight="1">
      <c r="A19" s="87"/>
      <c r="B19" s="100"/>
      <c r="C19" s="96"/>
      <c r="D19" s="97"/>
      <c r="E19" s="96"/>
      <c r="F19" s="97"/>
      <c r="G19" s="98"/>
      <c r="H19" s="99"/>
      <c r="I19" s="97"/>
      <c r="J19" s="96"/>
      <c r="K19" s="94"/>
    </row>
    <row r="20" spans="1:11" ht="19.5" customHeight="1">
      <c r="A20" s="87"/>
      <c r="B20" s="111" t="s">
        <v>214</v>
      </c>
      <c r="C20" s="99" t="s">
        <v>215</v>
      </c>
      <c r="D20" s="98" t="s">
        <v>216</v>
      </c>
      <c r="E20" s="112"/>
      <c r="F20" s="98" t="s">
        <v>184</v>
      </c>
      <c r="G20" s="98" t="s">
        <v>217</v>
      </c>
      <c r="H20" s="99"/>
      <c r="I20" s="97" t="s">
        <v>218</v>
      </c>
      <c r="J20" s="96"/>
      <c r="K20" s="94"/>
    </row>
    <row r="21" spans="1:11" ht="19.5" customHeight="1">
      <c r="A21" s="113"/>
      <c r="B21" s="114"/>
      <c r="C21" s="115"/>
      <c r="D21" s="116"/>
      <c r="E21" s="115"/>
      <c r="F21" s="116"/>
      <c r="G21" s="98" t="s">
        <v>219</v>
      </c>
      <c r="H21" s="115"/>
      <c r="I21" s="97" t="s">
        <v>220</v>
      </c>
      <c r="J21" s="115"/>
      <c r="K21" s="117"/>
    </row>
    <row r="22" spans="1:11" ht="22.5">
      <c r="A22" s="87"/>
      <c r="B22" s="95" t="s">
        <v>221</v>
      </c>
      <c r="C22" s="96" t="s">
        <v>222</v>
      </c>
      <c r="D22" s="97" t="s">
        <v>216</v>
      </c>
      <c r="E22" s="96"/>
      <c r="F22" s="97" t="s">
        <v>184</v>
      </c>
      <c r="G22" s="98" t="s">
        <v>223</v>
      </c>
      <c r="H22" s="99"/>
      <c r="I22" s="97" t="s">
        <v>224</v>
      </c>
      <c r="J22" s="96"/>
      <c r="K22" s="94"/>
    </row>
    <row r="23" spans="1:11" ht="22.5">
      <c r="A23" s="87"/>
      <c r="B23" s="100"/>
      <c r="C23" s="96"/>
      <c r="D23" s="97"/>
      <c r="E23" s="96"/>
      <c r="F23" s="97"/>
      <c r="G23" s="98"/>
      <c r="H23" s="99"/>
      <c r="I23" s="97" t="s">
        <v>225</v>
      </c>
      <c r="J23" s="96"/>
      <c r="K23" s="94"/>
    </row>
    <row r="24" spans="1:11">
      <c r="A24" s="118"/>
      <c r="B24" s="100"/>
      <c r="C24" s="96"/>
      <c r="D24" s="97"/>
      <c r="E24" s="96"/>
      <c r="F24" s="97"/>
      <c r="G24" s="98"/>
      <c r="H24" s="99"/>
      <c r="I24" s="97" t="s">
        <v>226</v>
      </c>
      <c r="J24" s="96"/>
      <c r="K24" s="119"/>
    </row>
    <row r="25" spans="1:11">
      <c r="A25" s="87"/>
      <c r="B25" s="104"/>
      <c r="C25" s="99"/>
      <c r="D25" s="98"/>
      <c r="E25" s="112"/>
      <c r="F25" s="98"/>
      <c r="G25" s="98"/>
      <c r="H25" s="99"/>
      <c r="I25" s="97" t="s">
        <v>227</v>
      </c>
      <c r="J25" s="96"/>
      <c r="K25" s="119"/>
    </row>
    <row r="26" spans="1:11">
      <c r="A26" s="87"/>
      <c r="B26" s="100"/>
      <c r="C26" s="96"/>
      <c r="D26" s="97"/>
      <c r="E26" s="96"/>
      <c r="F26" s="97"/>
      <c r="G26" s="98"/>
      <c r="H26" s="99"/>
      <c r="I26" s="97" t="s">
        <v>228</v>
      </c>
      <c r="J26" s="96"/>
      <c r="K26" s="119"/>
    </row>
    <row r="27" spans="1:11">
      <c r="A27" s="87"/>
      <c r="B27" s="95" t="s">
        <v>229</v>
      </c>
      <c r="C27" s="120" t="s">
        <v>230</v>
      </c>
      <c r="D27" s="121" t="s">
        <v>231</v>
      </c>
      <c r="E27" s="122"/>
      <c r="F27" s="97" t="s">
        <v>184</v>
      </c>
      <c r="G27" s="98" t="s">
        <v>232</v>
      </c>
      <c r="H27" s="98"/>
      <c r="I27" s="97" t="s">
        <v>233</v>
      </c>
      <c r="J27" s="96"/>
      <c r="K27" s="119"/>
    </row>
    <row r="28" spans="1:11" ht="22.5">
      <c r="A28" s="118"/>
      <c r="B28" s="123"/>
      <c r="C28" s="124"/>
      <c r="D28" s="121" t="s">
        <v>234</v>
      </c>
      <c r="E28" s="122"/>
      <c r="F28" s="97" t="s">
        <v>184</v>
      </c>
      <c r="G28" s="98" t="s">
        <v>235</v>
      </c>
      <c r="H28" s="98"/>
      <c r="I28" s="97" t="s">
        <v>236</v>
      </c>
      <c r="J28" s="96"/>
      <c r="K28" s="119"/>
    </row>
    <row r="29" spans="1:11" ht="22.5">
      <c r="A29" s="87"/>
      <c r="B29" s="125"/>
      <c r="C29" s="126"/>
      <c r="D29" s="127"/>
      <c r="E29" s="128"/>
      <c r="F29" s="126"/>
      <c r="G29" s="127"/>
      <c r="H29" s="103"/>
      <c r="I29" s="97" t="s">
        <v>237</v>
      </c>
      <c r="J29" s="96"/>
      <c r="K29" s="119"/>
    </row>
    <row r="30" spans="1:11">
      <c r="A30" s="87"/>
      <c r="B30" s="129"/>
      <c r="C30" s="130"/>
      <c r="D30" s="131"/>
      <c r="E30" s="131"/>
      <c r="F30" s="131"/>
      <c r="G30" s="90"/>
      <c r="H30" s="98"/>
      <c r="I30" s="97" t="s">
        <v>238</v>
      </c>
      <c r="J30" s="96"/>
      <c r="K30" s="119"/>
    </row>
    <row r="31" spans="1:11">
      <c r="A31" s="87"/>
      <c r="B31" s="129"/>
      <c r="C31" s="132"/>
      <c r="D31" s="122"/>
      <c r="E31" s="122"/>
      <c r="F31" s="122"/>
      <c r="G31" s="98"/>
      <c r="H31" s="98"/>
      <c r="I31" s="97" t="s">
        <v>239</v>
      </c>
      <c r="J31" s="96"/>
      <c r="K31" s="119"/>
    </row>
    <row r="32" spans="1:11">
      <c r="A32" s="118"/>
      <c r="B32" s="95" t="s">
        <v>240</v>
      </c>
      <c r="C32" s="120" t="s">
        <v>241</v>
      </c>
      <c r="D32" s="97"/>
      <c r="E32" s="106"/>
      <c r="F32" s="97" t="s">
        <v>184</v>
      </c>
      <c r="G32" s="98" t="s">
        <v>242</v>
      </c>
      <c r="H32" s="98"/>
      <c r="I32" s="97" t="s">
        <v>243</v>
      </c>
      <c r="J32" s="96"/>
      <c r="K32" s="119"/>
    </row>
    <row r="33" spans="1:11" ht="22.5">
      <c r="A33" s="118"/>
      <c r="B33" s="105"/>
      <c r="C33" s="97"/>
      <c r="D33" s="97"/>
      <c r="E33" s="106"/>
      <c r="F33" s="97"/>
      <c r="G33" s="98"/>
      <c r="H33" s="98"/>
      <c r="I33" s="97" t="s">
        <v>244</v>
      </c>
      <c r="J33" s="96"/>
      <c r="K33" s="119"/>
    </row>
    <row r="34" spans="1:11" ht="22.5">
      <c r="A34" s="87"/>
      <c r="B34" s="133"/>
      <c r="C34" s="98"/>
      <c r="D34" s="98"/>
      <c r="E34" s="134"/>
      <c r="F34" s="98"/>
      <c r="G34" s="98"/>
      <c r="H34" s="98"/>
      <c r="I34" s="97" t="s">
        <v>245</v>
      </c>
      <c r="J34" s="96"/>
      <c r="K34" s="119"/>
    </row>
    <row r="35" spans="1:11">
      <c r="A35" s="118"/>
      <c r="B35" s="105"/>
      <c r="C35" s="97"/>
      <c r="D35" s="97"/>
      <c r="E35" s="106"/>
      <c r="F35" s="97"/>
      <c r="G35" s="98"/>
      <c r="H35" s="98"/>
      <c r="I35" s="97"/>
      <c r="J35" s="96"/>
      <c r="K35" s="119"/>
    </row>
    <row r="36" spans="1:11">
      <c r="A36" s="87"/>
      <c r="B36" s="135"/>
      <c r="C36" s="97"/>
      <c r="D36" s="97"/>
      <c r="E36" s="97"/>
      <c r="F36" s="97"/>
      <c r="G36" s="136"/>
      <c r="H36" s="98"/>
      <c r="I36" s="97"/>
      <c r="J36" s="96"/>
      <c r="K36" s="119"/>
    </row>
    <row r="37" spans="1:11">
      <c r="A37" s="87"/>
      <c r="B37" s="135"/>
      <c r="C37" s="97"/>
      <c r="D37" s="97"/>
      <c r="E37" s="97"/>
      <c r="F37" s="97"/>
      <c r="G37" s="136"/>
      <c r="H37" s="98"/>
      <c r="I37" s="97"/>
      <c r="J37" s="96"/>
      <c r="K37" s="119"/>
    </row>
    <row r="38" spans="1:11">
      <c r="A38" s="118"/>
      <c r="B38" s="135"/>
      <c r="C38" s="97"/>
      <c r="D38" s="97"/>
      <c r="E38" s="97"/>
      <c r="F38" s="97"/>
      <c r="G38" s="98"/>
      <c r="H38" s="98"/>
      <c r="I38" s="97"/>
      <c r="J38" s="96"/>
      <c r="K38" s="119"/>
    </row>
    <row r="39" spans="1:11">
      <c r="A39" s="87"/>
      <c r="B39" s="133"/>
      <c r="C39" s="98"/>
      <c r="D39" s="98"/>
      <c r="E39" s="134"/>
      <c r="F39" s="98"/>
      <c r="G39" s="98"/>
      <c r="H39" s="98"/>
      <c r="I39" s="97"/>
      <c r="J39" s="96"/>
      <c r="K39" s="119"/>
    </row>
    <row r="40" spans="1:11">
      <c r="A40" s="87"/>
      <c r="B40" s="135"/>
      <c r="C40" s="97"/>
      <c r="D40" s="97"/>
      <c r="E40" s="97"/>
      <c r="F40" s="97"/>
      <c r="G40" s="98"/>
      <c r="H40" s="98"/>
      <c r="I40" s="97"/>
      <c r="J40" s="96"/>
      <c r="K40" s="119"/>
    </row>
    <row r="41" spans="1:11">
      <c r="A41" s="87"/>
      <c r="B41" s="105"/>
      <c r="C41" s="97"/>
      <c r="D41" s="97"/>
      <c r="E41" s="106"/>
      <c r="F41" s="97"/>
      <c r="G41" s="98"/>
      <c r="H41" s="98"/>
      <c r="I41" s="97"/>
      <c r="J41" s="96"/>
      <c r="K41" s="119"/>
    </row>
    <row r="42" spans="1:11">
      <c r="A42" s="118"/>
      <c r="B42" s="135"/>
      <c r="C42" s="97"/>
      <c r="D42" s="97"/>
      <c r="E42" s="97"/>
      <c r="F42" s="97"/>
      <c r="G42" s="127"/>
      <c r="H42" s="126"/>
      <c r="I42" s="102"/>
      <c r="J42" s="96"/>
      <c r="K42" s="119"/>
    </row>
    <row r="43" spans="1:11">
      <c r="A43" s="87"/>
      <c r="B43" s="133"/>
      <c r="C43" s="98"/>
      <c r="D43" s="98"/>
      <c r="E43" s="134"/>
      <c r="F43" s="98"/>
      <c r="G43" s="90"/>
      <c r="H43" s="89"/>
      <c r="I43" s="92"/>
      <c r="J43" s="96"/>
      <c r="K43" s="119"/>
    </row>
    <row r="44" spans="1:11">
      <c r="A44" s="87"/>
      <c r="B44" s="135"/>
      <c r="C44" s="97"/>
      <c r="D44" s="97"/>
      <c r="E44" s="97"/>
      <c r="F44" s="97"/>
      <c r="G44" s="98"/>
      <c r="H44" s="99"/>
      <c r="I44" s="97"/>
      <c r="J44" s="96"/>
      <c r="K44" s="119"/>
    </row>
    <row r="45" spans="1:11">
      <c r="A45" s="87"/>
      <c r="B45" s="137"/>
      <c r="C45" s="98"/>
      <c r="D45" s="98"/>
      <c r="E45" s="138"/>
      <c r="F45" s="98"/>
      <c r="G45" s="98"/>
      <c r="H45" s="98"/>
      <c r="I45" s="97"/>
      <c r="J45" s="96"/>
      <c r="K45" s="119"/>
    </row>
    <row r="46" spans="1:11">
      <c r="A46" s="118"/>
      <c r="B46" s="139"/>
      <c r="C46" s="107"/>
      <c r="D46" s="107"/>
      <c r="E46" s="140"/>
      <c r="F46" s="107"/>
      <c r="G46" s="109"/>
      <c r="H46" s="109"/>
      <c r="I46" s="107"/>
      <c r="J46" s="96"/>
      <c r="K46" s="119"/>
    </row>
    <row r="47" spans="1:11">
      <c r="A47" s="118"/>
      <c r="B47" s="141"/>
      <c r="C47" s="109"/>
      <c r="D47" s="109"/>
      <c r="E47" s="110"/>
      <c r="F47" s="109"/>
      <c r="G47" s="109"/>
      <c r="H47" s="109"/>
      <c r="I47" s="107"/>
      <c r="J47" s="96"/>
      <c r="K47" s="119"/>
    </row>
    <row r="48" spans="1:11">
      <c r="A48" s="118"/>
      <c r="B48" s="142"/>
      <c r="C48" s="143"/>
      <c r="D48" s="144"/>
      <c r="E48" s="145"/>
      <c r="F48" s="144"/>
      <c r="G48" s="146"/>
      <c r="H48" s="146"/>
      <c r="I48" s="144"/>
      <c r="J48" s="96"/>
      <c r="K48" s="119"/>
    </row>
    <row r="49" spans="1:11" ht="30.6" customHeight="1">
      <c r="A49" s="118"/>
      <c r="B49" s="141"/>
      <c r="C49" s="147"/>
      <c r="D49" s="109"/>
      <c r="E49" s="110"/>
      <c r="F49" s="147"/>
      <c r="G49" s="109"/>
      <c r="H49" s="147"/>
      <c r="I49" s="107"/>
      <c r="J49" s="96"/>
      <c r="K49" s="119"/>
    </row>
    <row r="50" spans="1:11">
      <c r="A50" s="118"/>
      <c r="B50" s="148"/>
      <c r="C50" s="149"/>
      <c r="D50" s="107"/>
      <c r="E50" s="149"/>
      <c r="F50" s="149"/>
      <c r="G50" s="109"/>
      <c r="H50" s="147"/>
      <c r="I50" s="107"/>
      <c r="J50" s="96"/>
      <c r="K50" s="119"/>
    </row>
    <row r="51" spans="1:11">
      <c r="A51" s="118"/>
      <c r="B51" s="100"/>
      <c r="C51" s="96"/>
      <c r="D51" s="97"/>
      <c r="E51" s="96"/>
      <c r="F51" s="96"/>
      <c r="G51" s="98"/>
      <c r="H51" s="99"/>
      <c r="I51" s="97"/>
      <c r="J51" s="96"/>
      <c r="K51" s="119"/>
    </row>
    <row r="52" spans="1:11" ht="42" customHeight="1">
      <c r="A52" s="118"/>
      <c r="B52" s="105"/>
      <c r="C52" s="96"/>
      <c r="D52" s="97"/>
      <c r="E52" s="106"/>
      <c r="F52" s="97"/>
      <c r="G52" s="98"/>
      <c r="H52" s="99"/>
      <c r="I52" s="97"/>
      <c r="J52" s="96"/>
      <c r="K52" s="119"/>
    </row>
    <row r="53" spans="1:11">
      <c r="A53" s="118"/>
      <c r="B53" s="150"/>
      <c r="C53" s="151"/>
      <c r="D53" s="152"/>
      <c r="E53" s="151"/>
      <c r="F53" s="152"/>
      <c r="G53" s="98"/>
      <c r="H53" s="99"/>
      <c r="I53" s="97"/>
      <c r="J53" s="96"/>
      <c r="K53" s="119"/>
    </row>
    <row r="54" spans="1:11">
      <c r="A54" s="118"/>
      <c r="B54" s="150"/>
      <c r="C54" s="151"/>
      <c r="D54" s="152"/>
      <c r="E54" s="151"/>
      <c r="F54" s="152"/>
      <c r="G54" s="98"/>
      <c r="H54" s="99"/>
      <c r="I54" s="97"/>
      <c r="J54" s="96"/>
      <c r="K54" s="119"/>
    </row>
    <row r="55" spans="1:11" ht="30.6" customHeight="1">
      <c r="A55" s="118"/>
      <c r="B55" s="153"/>
      <c r="C55" s="154"/>
      <c r="D55" s="155"/>
      <c r="E55" s="156"/>
      <c r="F55" s="154"/>
      <c r="G55" s="98"/>
      <c r="H55" s="99"/>
      <c r="I55" s="97"/>
      <c r="J55" s="96"/>
      <c r="K55" s="119"/>
    </row>
    <row r="56" spans="1:11" ht="30.6" customHeight="1">
      <c r="A56" s="118"/>
      <c r="B56" s="153"/>
      <c r="C56" s="154"/>
      <c r="D56" s="155"/>
      <c r="E56" s="156"/>
      <c r="F56" s="154"/>
      <c r="G56" s="98"/>
      <c r="H56" s="99"/>
      <c r="I56" s="97"/>
      <c r="J56" s="96"/>
      <c r="K56" s="119"/>
    </row>
    <row r="57" spans="1:11" ht="30.6" customHeight="1">
      <c r="A57" s="118"/>
      <c r="B57" s="137"/>
      <c r="C57" s="99"/>
      <c r="D57" s="98"/>
      <c r="E57" s="138"/>
      <c r="F57" s="98"/>
      <c r="G57" s="98"/>
      <c r="H57" s="99"/>
      <c r="I57" s="97"/>
      <c r="J57" s="96"/>
      <c r="K57" s="119"/>
    </row>
    <row r="58" spans="1:11" ht="30.6" customHeight="1">
      <c r="A58" s="118"/>
      <c r="B58" s="137"/>
      <c r="C58" s="99"/>
      <c r="D58" s="98"/>
      <c r="E58" s="138"/>
      <c r="F58" s="98"/>
      <c r="G58" s="98"/>
      <c r="H58" s="99"/>
      <c r="I58" s="97"/>
      <c r="J58" s="96"/>
      <c r="K58" s="119"/>
    </row>
    <row r="59" spans="1:11" ht="30.6" customHeight="1">
      <c r="A59" s="118"/>
      <c r="B59" s="104"/>
      <c r="C59" s="99"/>
      <c r="D59" s="98"/>
      <c r="E59" s="112"/>
      <c r="F59" s="99"/>
      <c r="G59" s="98"/>
      <c r="H59" s="99"/>
      <c r="I59" s="97"/>
      <c r="J59" s="96"/>
      <c r="K59" s="119"/>
    </row>
    <row r="60" spans="1:11" ht="30.6" customHeight="1">
      <c r="A60" s="118"/>
      <c r="B60" s="104"/>
      <c r="C60" s="99"/>
      <c r="D60" s="98"/>
      <c r="E60" s="112"/>
      <c r="F60" s="99"/>
      <c r="G60" s="98"/>
      <c r="H60" s="99"/>
      <c r="I60" s="97"/>
      <c r="J60" s="96"/>
      <c r="K60" s="119"/>
    </row>
    <row r="61" spans="1:11">
      <c r="A61" s="118"/>
      <c r="B61" s="157"/>
      <c r="C61" s="158"/>
      <c r="D61" s="159"/>
      <c r="E61" s="160"/>
      <c r="F61" s="160"/>
      <c r="G61" s="161"/>
      <c r="H61" s="162"/>
      <c r="I61" s="161"/>
      <c r="J61" s="96"/>
      <c r="K61" s="119"/>
    </row>
    <row r="62" spans="1:11">
      <c r="A62" s="118"/>
      <c r="B62" s="163"/>
      <c r="C62" s="158"/>
      <c r="D62" s="160"/>
      <c r="E62" s="164"/>
      <c r="F62" s="160"/>
      <c r="G62" s="161"/>
      <c r="H62" s="165"/>
      <c r="I62" s="161"/>
      <c r="J62" s="96"/>
      <c r="K62" s="119"/>
    </row>
    <row r="63" spans="1:11">
      <c r="A63" s="118"/>
      <c r="B63" s="157"/>
      <c r="C63" s="158"/>
      <c r="D63" s="159"/>
      <c r="E63" s="160"/>
      <c r="F63" s="160"/>
      <c r="G63" s="161"/>
      <c r="H63" s="162"/>
      <c r="I63" s="161"/>
      <c r="J63" s="96"/>
      <c r="K63" s="119"/>
    </row>
    <row r="64" spans="1:11">
      <c r="A64" s="118"/>
      <c r="B64" s="163"/>
      <c r="C64" s="158"/>
      <c r="D64" s="159"/>
      <c r="E64" s="164"/>
      <c r="F64" s="160"/>
      <c r="G64" s="161"/>
      <c r="H64" s="162"/>
      <c r="I64" s="161"/>
      <c r="J64" s="96"/>
      <c r="K64" s="119"/>
    </row>
    <row r="65" spans="1:11">
      <c r="A65" s="118"/>
      <c r="B65" s="157"/>
      <c r="C65" s="158"/>
      <c r="D65" s="159"/>
      <c r="E65" s="160"/>
      <c r="F65" s="160"/>
      <c r="G65" s="161"/>
      <c r="H65" s="162"/>
      <c r="I65" s="161"/>
      <c r="J65" s="96"/>
      <c r="K65" s="119"/>
    </row>
    <row r="66" spans="1:11">
      <c r="A66" s="118"/>
      <c r="B66" s="157"/>
      <c r="C66" s="158"/>
      <c r="D66" s="159"/>
      <c r="E66" s="160"/>
      <c r="F66" s="160"/>
      <c r="G66" s="161"/>
      <c r="H66" s="162"/>
      <c r="I66" s="161"/>
      <c r="J66" s="96"/>
      <c r="K66" s="119"/>
    </row>
    <row r="67" spans="1:11">
      <c r="A67" s="118"/>
      <c r="B67" s="157"/>
      <c r="C67" s="158"/>
      <c r="D67" s="159"/>
      <c r="E67" s="160"/>
      <c r="F67" s="160"/>
      <c r="G67" s="161"/>
      <c r="H67" s="162"/>
      <c r="I67" s="161"/>
      <c r="J67" s="96"/>
      <c r="K67" s="119"/>
    </row>
    <row r="68" spans="1:11">
      <c r="B68" s="163"/>
      <c r="C68" s="158"/>
      <c r="D68" s="159"/>
      <c r="E68" s="164"/>
      <c r="F68" s="160"/>
      <c r="G68" s="161"/>
      <c r="H68" s="162"/>
      <c r="I68" s="161"/>
      <c r="J68" s="162"/>
    </row>
    <row r="69" spans="1:11">
      <c r="B69" s="157"/>
      <c r="C69" s="158"/>
      <c r="D69" s="159"/>
      <c r="E69" s="160"/>
      <c r="F69" s="160"/>
      <c r="G69" s="161"/>
      <c r="H69" s="162"/>
      <c r="I69" s="161"/>
      <c r="J69" s="162"/>
    </row>
    <row r="70" spans="1:11">
      <c r="B70" s="157"/>
      <c r="C70" s="158"/>
      <c r="D70" s="159"/>
      <c r="E70" s="160"/>
      <c r="F70" s="160"/>
      <c r="G70" s="161"/>
      <c r="H70" s="162"/>
      <c r="I70" s="161"/>
      <c r="J70" s="162"/>
    </row>
    <row r="71" spans="1:11">
      <c r="B71" s="163"/>
      <c r="C71" s="158"/>
      <c r="D71" s="159"/>
      <c r="E71" s="164"/>
      <c r="F71" s="160"/>
      <c r="G71" s="161"/>
      <c r="H71" s="162"/>
      <c r="I71" s="161"/>
      <c r="J71" s="162"/>
    </row>
    <row r="72" spans="1:11">
      <c r="B72" s="157"/>
      <c r="C72" s="158"/>
      <c r="D72" s="159"/>
      <c r="E72" s="160"/>
      <c r="F72" s="160"/>
      <c r="G72" s="161"/>
      <c r="H72" s="162"/>
      <c r="I72" s="161"/>
      <c r="J72" s="162"/>
    </row>
    <row r="73" spans="1:11">
      <c r="B73" s="157"/>
      <c r="C73" s="158"/>
      <c r="D73" s="159"/>
      <c r="E73" s="160"/>
      <c r="F73" s="160"/>
      <c r="G73" s="161"/>
      <c r="H73" s="162"/>
      <c r="I73" s="161"/>
      <c r="J73" s="162"/>
    </row>
    <row r="74" spans="1:11">
      <c r="B74" s="163"/>
      <c r="C74" s="158"/>
      <c r="D74" s="159"/>
      <c r="E74" s="164"/>
      <c r="F74" s="160"/>
      <c r="G74" s="161"/>
      <c r="H74" s="162"/>
      <c r="I74" s="161"/>
      <c r="J74" s="162"/>
    </row>
    <row r="75" spans="1:11">
      <c r="B75" s="157"/>
      <c r="C75" s="158"/>
      <c r="D75" s="159"/>
      <c r="E75" s="160"/>
      <c r="F75" s="160"/>
      <c r="G75" s="161"/>
      <c r="H75" s="162"/>
      <c r="I75" s="161"/>
      <c r="J75" s="162"/>
    </row>
    <row r="76" spans="1:11">
      <c r="B76" s="163"/>
      <c r="C76" s="166"/>
      <c r="D76" s="159"/>
      <c r="E76" s="160"/>
      <c r="F76" s="159"/>
      <c r="G76" s="161"/>
      <c r="H76" s="162"/>
      <c r="I76" s="161"/>
      <c r="J76" s="162"/>
    </row>
    <row r="77" spans="1:11">
      <c r="B77" s="157"/>
      <c r="C77" s="158"/>
      <c r="D77" s="159"/>
      <c r="E77" s="160"/>
      <c r="F77" s="159"/>
      <c r="G77" s="161"/>
      <c r="H77" s="162"/>
      <c r="I77" s="161"/>
      <c r="J77" s="162"/>
    </row>
    <row r="78" spans="1:11">
      <c r="B78" s="163"/>
      <c r="C78" s="166"/>
      <c r="D78" s="159"/>
      <c r="E78" s="160"/>
      <c r="F78" s="159"/>
      <c r="G78" s="161"/>
      <c r="H78" s="162"/>
      <c r="I78" s="161"/>
      <c r="J78" s="162"/>
    </row>
    <row r="79" spans="1:11">
      <c r="B79" s="157"/>
      <c r="C79" s="158"/>
      <c r="D79" s="159"/>
      <c r="E79" s="160"/>
      <c r="F79" s="159"/>
      <c r="G79" s="161"/>
      <c r="H79" s="162"/>
      <c r="I79" s="161"/>
      <c r="J79" s="162"/>
    </row>
    <row r="80" spans="1:11">
      <c r="B80" s="163"/>
      <c r="C80" s="166"/>
      <c r="D80" s="159"/>
      <c r="E80" s="160"/>
      <c r="F80" s="159"/>
      <c r="G80" s="161"/>
      <c r="H80" s="162"/>
      <c r="I80" s="161"/>
      <c r="J80" s="162"/>
    </row>
    <row r="81" spans="2:10">
      <c r="B81" s="157"/>
      <c r="C81" s="158"/>
      <c r="D81" s="159"/>
      <c r="E81" s="160"/>
      <c r="F81" s="159"/>
      <c r="G81" s="161"/>
      <c r="H81" s="162"/>
      <c r="I81" s="161"/>
      <c r="J81" s="162"/>
    </row>
    <row r="82" spans="2:10">
      <c r="B82" s="167"/>
      <c r="C82" s="166"/>
      <c r="D82" s="159"/>
      <c r="E82" s="160"/>
      <c r="F82" s="159"/>
      <c r="G82" s="161"/>
      <c r="H82" s="162"/>
      <c r="I82" s="161"/>
      <c r="J82" s="162"/>
    </row>
    <row r="83" spans="2:10">
      <c r="B83" s="157"/>
      <c r="C83" s="158"/>
      <c r="D83" s="159"/>
      <c r="E83" s="160"/>
      <c r="F83" s="159"/>
      <c r="G83" s="161"/>
      <c r="H83" s="162"/>
      <c r="I83" s="161"/>
      <c r="J83" s="162"/>
    </row>
    <row r="84" spans="2:10">
      <c r="B84" s="167"/>
      <c r="C84" s="158"/>
      <c r="D84" s="159"/>
      <c r="E84" s="160"/>
      <c r="F84" s="159"/>
      <c r="G84" s="161"/>
      <c r="H84" s="162"/>
      <c r="I84" s="161"/>
      <c r="J84" s="162"/>
    </row>
    <row r="85" spans="2:10">
      <c r="B85" s="167"/>
      <c r="C85" s="158"/>
      <c r="D85" s="159"/>
      <c r="E85" s="160"/>
      <c r="F85" s="159"/>
      <c r="G85" s="161"/>
      <c r="H85" s="162"/>
      <c r="I85" s="161"/>
      <c r="J85" s="162"/>
    </row>
    <row r="86" spans="2:10">
      <c r="B86" s="157"/>
      <c r="C86" s="168"/>
      <c r="D86" s="169"/>
      <c r="E86" s="170"/>
      <c r="F86" s="170"/>
      <c r="G86" s="171"/>
      <c r="H86" s="162"/>
      <c r="I86" s="161"/>
      <c r="J86" s="162"/>
    </row>
    <row r="87" spans="2:10">
      <c r="B87" s="157"/>
      <c r="C87" s="172"/>
      <c r="D87" s="173"/>
      <c r="E87" s="174"/>
      <c r="F87" s="173"/>
      <c r="G87" s="161"/>
      <c r="H87" s="162"/>
      <c r="I87" s="161"/>
      <c r="J87" s="162"/>
    </row>
    <row r="88" spans="2:10">
      <c r="B88" s="157"/>
      <c r="C88" s="158"/>
      <c r="D88" s="159"/>
      <c r="E88" s="160"/>
      <c r="F88" s="159"/>
      <c r="G88" s="161"/>
      <c r="H88" s="162"/>
      <c r="I88" s="161"/>
      <c r="J88" s="162"/>
    </row>
    <row r="89" spans="2:10">
      <c r="B89" s="157"/>
      <c r="C89" s="158"/>
      <c r="D89" s="159"/>
      <c r="E89" s="160"/>
      <c r="F89" s="159"/>
      <c r="G89" s="161"/>
      <c r="H89" s="162"/>
      <c r="I89" s="161"/>
      <c r="J89" s="162"/>
    </row>
    <row r="90" spans="2:10">
      <c r="B90" s="167"/>
      <c r="C90" s="158"/>
      <c r="D90" s="159"/>
      <c r="E90" s="160"/>
      <c r="F90" s="159"/>
      <c r="G90" s="161"/>
      <c r="H90" s="162"/>
      <c r="I90" s="161"/>
      <c r="J90" s="162"/>
    </row>
    <row r="91" spans="2:10">
      <c r="B91" s="167"/>
      <c r="C91" s="158"/>
      <c r="D91" s="159"/>
      <c r="E91" s="160"/>
      <c r="F91" s="159"/>
      <c r="G91" s="161"/>
      <c r="H91" s="162"/>
      <c r="I91" s="161"/>
      <c r="J91" s="162"/>
    </row>
    <row r="92" spans="2:10">
      <c r="B92" s="157"/>
      <c r="C92" s="158"/>
      <c r="D92" s="159"/>
      <c r="E92" s="160"/>
      <c r="F92" s="159"/>
      <c r="G92" s="161"/>
      <c r="H92" s="162"/>
      <c r="I92" s="161"/>
      <c r="J92" s="162"/>
    </row>
    <row r="93" spans="2:10">
      <c r="B93" s="157"/>
      <c r="C93" s="158"/>
      <c r="D93" s="159"/>
      <c r="E93" s="160"/>
      <c r="F93" s="159"/>
      <c r="G93" s="161"/>
      <c r="H93" s="162"/>
      <c r="I93" s="161"/>
      <c r="J93" s="162"/>
    </row>
    <row r="94" spans="2:10">
      <c r="B94" s="157"/>
      <c r="C94" s="158"/>
      <c r="D94" s="159"/>
      <c r="E94" s="160"/>
      <c r="F94" s="159"/>
      <c r="G94" s="161"/>
      <c r="H94" s="162"/>
      <c r="I94" s="161"/>
      <c r="J94" s="162"/>
    </row>
    <row r="95" spans="2:10">
      <c r="B95" s="157"/>
      <c r="C95" s="158"/>
      <c r="D95" s="159"/>
      <c r="E95" s="160"/>
      <c r="F95" s="159"/>
      <c r="G95" s="161"/>
      <c r="H95" s="162"/>
      <c r="I95" s="161"/>
      <c r="J95" s="162"/>
    </row>
    <row r="96" spans="2:10">
      <c r="B96" s="167"/>
      <c r="C96" s="175"/>
      <c r="D96" s="176"/>
      <c r="E96" s="164"/>
      <c r="F96" s="159"/>
      <c r="G96" s="161"/>
      <c r="H96" s="161"/>
      <c r="I96" s="161"/>
      <c r="J96" s="162"/>
    </row>
    <row r="97" spans="2:10">
      <c r="B97" s="177"/>
      <c r="C97" s="178"/>
      <c r="D97" s="179"/>
      <c r="E97" s="179"/>
      <c r="F97" s="179"/>
      <c r="G97" s="161"/>
      <c r="H97" s="161"/>
      <c r="I97" s="161"/>
      <c r="J97" s="162"/>
    </row>
    <row r="98" spans="2:10">
      <c r="B98" s="177"/>
      <c r="C98" s="178"/>
      <c r="D98" s="179"/>
      <c r="E98" s="179"/>
      <c r="F98" s="179"/>
      <c r="G98" s="161"/>
      <c r="H98" s="161"/>
      <c r="I98" s="161"/>
      <c r="J98" s="162"/>
    </row>
    <row r="99" spans="2:10">
      <c r="B99" s="177"/>
      <c r="C99" s="178"/>
      <c r="D99" s="179"/>
      <c r="E99" s="179"/>
      <c r="F99" s="179"/>
      <c r="G99" s="161"/>
      <c r="H99" s="161"/>
      <c r="I99" s="161"/>
      <c r="J99" s="162"/>
    </row>
    <row r="100" spans="2:10">
      <c r="B100" s="177"/>
      <c r="C100" s="178"/>
      <c r="D100" s="179"/>
      <c r="E100" s="179"/>
      <c r="F100" s="179"/>
      <c r="G100" s="161"/>
      <c r="H100" s="161"/>
      <c r="I100" s="161"/>
      <c r="J100" s="162"/>
    </row>
    <row r="101" spans="2:10">
      <c r="B101" s="177"/>
      <c r="C101" s="178"/>
      <c r="D101" s="179"/>
      <c r="E101" s="179"/>
      <c r="F101" s="179"/>
      <c r="G101" s="161"/>
      <c r="H101" s="161"/>
      <c r="I101" s="161"/>
      <c r="J101" s="162"/>
    </row>
    <row r="102" spans="2:10">
      <c r="B102" s="177"/>
      <c r="C102" s="178"/>
      <c r="D102" s="179"/>
      <c r="E102" s="179"/>
      <c r="F102" s="179"/>
      <c r="G102" s="161"/>
      <c r="H102" s="180"/>
      <c r="I102" s="161"/>
      <c r="J102" s="162"/>
    </row>
    <row r="103" spans="2:10">
      <c r="B103" s="177"/>
      <c r="C103" s="178"/>
      <c r="D103" s="179"/>
      <c r="E103" s="179"/>
      <c r="F103" s="179"/>
      <c r="G103" s="161"/>
      <c r="H103" s="180"/>
      <c r="I103" s="161"/>
      <c r="J103" s="162"/>
    </row>
    <row r="104" spans="2:10">
      <c r="B104" s="177"/>
      <c r="C104" s="178"/>
      <c r="D104" s="179"/>
      <c r="E104" s="179"/>
      <c r="F104" s="179"/>
      <c r="G104" s="161"/>
      <c r="H104" s="161"/>
      <c r="I104" s="161"/>
      <c r="J104" s="162"/>
    </row>
    <row r="105" spans="2:10">
      <c r="B105" s="177"/>
      <c r="C105" s="178"/>
      <c r="D105" s="179"/>
      <c r="E105" s="179"/>
      <c r="F105" s="179"/>
      <c r="G105" s="161"/>
      <c r="H105" s="161"/>
      <c r="I105" s="161"/>
      <c r="J105" s="162"/>
    </row>
    <row r="106" spans="2:10">
      <c r="B106" s="177"/>
      <c r="C106" s="178"/>
      <c r="D106" s="179"/>
      <c r="E106" s="179"/>
      <c r="F106" s="179"/>
      <c r="G106" s="161"/>
      <c r="H106" s="161"/>
      <c r="I106" s="161"/>
      <c r="J106" s="162"/>
    </row>
    <row r="107" spans="2:10">
      <c r="B107" s="177"/>
      <c r="C107" s="178"/>
      <c r="D107" s="179"/>
      <c r="E107" s="179"/>
      <c r="F107" s="179"/>
      <c r="G107" s="161"/>
      <c r="H107" s="161"/>
      <c r="I107" s="161"/>
      <c r="J107" s="162"/>
    </row>
    <row r="108" spans="2:10">
      <c r="B108" s="177"/>
      <c r="C108" s="178"/>
      <c r="D108" s="179"/>
      <c r="E108" s="179"/>
      <c r="F108" s="179"/>
      <c r="G108" s="161"/>
      <c r="H108" s="161"/>
      <c r="I108" s="161"/>
      <c r="J108" s="162"/>
    </row>
    <row r="109" spans="2:10">
      <c r="B109" s="167"/>
      <c r="C109" s="175"/>
      <c r="D109" s="176"/>
      <c r="E109" s="164"/>
      <c r="F109" s="159"/>
      <c r="G109" s="161"/>
      <c r="H109" s="161"/>
      <c r="I109" s="161"/>
      <c r="J109" s="162"/>
    </row>
    <row r="110" spans="2:10">
      <c r="B110" s="177"/>
      <c r="C110" s="178"/>
      <c r="D110" s="179"/>
      <c r="E110" s="179"/>
      <c r="F110" s="179"/>
      <c r="G110" s="161"/>
      <c r="H110" s="161"/>
      <c r="I110" s="161"/>
      <c r="J110" s="162"/>
    </row>
    <row r="111" spans="2:10">
      <c r="B111" s="177"/>
      <c r="C111" s="178"/>
      <c r="D111" s="179"/>
      <c r="E111" s="179"/>
      <c r="F111" s="179"/>
      <c r="G111" s="161"/>
      <c r="H111" s="161"/>
      <c r="I111" s="161"/>
      <c r="J111" s="162"/>
    </row>
    <row r="112" spans="2:10">
      <c r="B112" s="177"/>
      <c r="C112" s="178"/>
      <c r="D112" s="179"/>
      <c r="E112" s="179"/>
      <c r="F112" s="179"/>
      <c r="G112" s="161"/>
      <c r="H112" s="161"/>
      <c r="I112" s="161"/>
      <c r="J112" s="162"/>
    </row>
    <row r="113" spans="2:10">
      <c r="B113" s="177"/>
      <c r="C113" s="178"/>
      <c r="D113" s="179"/>
      <c r="E113" s="179"/>
      <c r="F113" s="179"/>
      <c r="G113" s="161"/>
      <c r="H113" s="161"/>
      <c r="I113" s="161"/>
      <c r="J113" s="162"/>
    </row>
    <row r="114" spans="2:10">
      <c r="B114" s="177"/>
      <c r="C114" s="178"/>
      <c r="D114" s="179"/>
      <c r="E114" s="179"/>
      <c r="F114" s="179"/>
      <c r="G114" s="161"/>
      <c r="H114" s="161"/>
      <c r="I114" s="161"/>
      <c r="J114" s="162"/>
    </row>
    <row r="115" spans="2:10">
      <c r="B115" s="177"/>
      <c r="C115" s="178"/>
      <c r="D115" s="179"/>
      <c r="E115" s="179"/>
      <c r="F115" s="179"/>
      <c r="G115" s="161"/>
      <c r="H115" s="180"/>
      <c r="I115" s="161"/>
      <c r="J115" s="162"/>
    </row>
    <row r="116" spans="2:10">
      <c r="B116" s="177"/>
      <c r="C116" s="178"/>
      <c r="D116" s="179"/>
      <c r="E116" s="179"/>
      <c r="F116" s="179"/>
      <c r="G116" s="161"/>
      <c r="H116" s="180"/>
      <c r="I116" s="161"/>
      <c r="J116" s="162"/>
    </row>
    <row r="117" spans="2:10">
      <c r="B117" s="177"/>
      <c r="C117" s="178"/>
      <c r="D117" s="179"/>
      <c r="E117" s="179"/>
      <c r="F117" s="179"/>
      <c r="G117" s="161"/>
      <c r="H117" s="161"/>
      <c r="I117" s="161"/>
      <c r="J117" s="162"/>
    </row>
    <row r="118" spans="2:10">
      <c r="B118" s="177"/>
      <c r="C118" s="178"/>
      <c r="D118" s="179"/>
      <c r="E118" s="179"/>
      <c r="F118" s="179"/>
      <c r="G118" s="161"/>
      <c r="H118" s="161"/>
      <c r="I118" s="161"/>
      <c r="J118" s="162"/>
    </row>
    <row r="119" spans="2:10">
      <c r="B119" s="177"/>
      <c r="C119" s="178"/>
      <c r="D119" s="179"/>
      <c r="E119" s="179"/>
      <c r="F119" s="179"/>
      <c r="G119" s="161"/>
      <c r="H119" s="161"/>
      <c r="I119" s="161"/>
      <c r="J119" s="162"/>
    </row>
    <row r="120" spans="2:10">
      <c r="B120" s="177"/>
      <c r="C120" s="178"/>
      <c r="D120" s="179"/>
      <c r="E120" s="179"/>
      <c r="F120" s="179"/>
      <c r="G120" s="161"/>
      <c r="H120" s="161"/>
      <c r="I120" s="161"/>
      <c r="J120" s="162"/>
    </row>
    <row r="121" spans="2:10">
      <c r="B121" s="177"/>
      <c r="C121" s="178"/>
      <c r="D121" s="179"/>
      <c r="E121" s="179"/>
      <c r="F121" s="179"/>
      <c r="G121" s="161"/>
      <c r="H121" s="161"/>
      <c r="I121" s="161"/>
      <c r="J121" s="162"/>
    </row>
    <row r="122" spans="2:10">
      <c r="B122" s="177"/>
      <c r="C122" s="178"/>
      <c r="D122" s="179"/>
      <c r="E122" s="179"/>
      <c r="F122" s="179"/>
      <c r="G122" s="161"/>
      <c r="H122" s="161"/>
      <c r="I122" s="161"/>
      <c r="J122" s="162"/>
    </row>
    <row r="123" spans="2:10">
      <c r="B123" s="167"/>
      <c r="C123" s="175"/>
      <c r="D123" s="176"/>
      <c r="E123" s="164"/>
      <c r="F123" s="159"/>
      <c r="G123" s="161"/>
      <c r="H123" s="161"/>
      <c r="I123" s="161"/>
      <c r="J123" s="162"/>
    </row>
    <row r="124" spans="2:10">
      <c r="B124" s="167"/>
      <c r="C124" s="175"/>
      <c r="D124" s="176"/>
      <c r="E124" s="164"/>
      <c r="F124" s="159"/>
      <c r="G124" s="161"/>
      <c r="H124" s="161"/>
      <c r="I124" s="161"/>
      <c r="J124" s="162"/>
    </row>
    <row r="125" spans="2:10">
      <c r="B125" s="177"/>
      <c r="C125" s="178"/>
      <c r="D125" s="179"/>
      <c r="E125" s="179"/>
      <c r="F125" s="179"/>
      <c r="G125" s="161"/>
      <c r="H125" s="161"/>
      <c r="I125" s="161"/>
      <c r="J125" s="162"/>
    </row>
    <row r="126" spans="2:10">
      <c r="B126" s="177"/>
      <c r="C126" s="178"/>
      <c r="D126" s="179"/>
      <c r="E126" s="179"/>
      <c r="F126" s="179"/>
      <c r="G126" s="161"/>
      <c r="H126" s="161"/>
      <c r="I126" s="161"/>
      <c r="J126" s="162"/>
    </row>
    <row r="127" spans="2:10">
      <c r="B127" s="177"/>
      <c r="C127" s="178"/>
      <c r="D127" s="179"/>
      <c r="E127" s="179"/>
      <c r="F127" s="179"/>
      <c r="G127" s="161"/>
      <c r="H127" s="161"/>
      <c r="I127" s="161"/>
      <c r="J127" s="162"/>
    </row>
    <row r="128" spans="2:10">
      <c r="B128" s="177"/>
      <c r="C128" s="178"/>
      <c r="D128" s="179"/>
      <c r="E128" s="179"/>
      <c r="F128" s="179"/>
      <c r="G128" s="161"/>
      <c r="H128" s="161"/>
      <c r="I128" s="161"/>
      <c r="J128" s="162"/>
    </row>
    <row r="129" spans="2:10">
      <c r="B129" s="177"/>
      <c r="C129" s="178"/>
      <c r="D129" s="179"/>
      <c r="E129" s="179"/>
      <c r="F129" s="179"/>
      <c r="G129" s="161"/>
      <c r="H129" s="161"/>
      <c r="I129" s="161"/>
      <c r="J129" s="162"/>
    </row>
    <row r="130" spans="2:10">
      <c r="B130" s="177"/>
      <c r="C130" s="178"/>
      <c r="D130" s="179"/>
      <c r="E130" s="179"/>
      <c r="F130" s="179"/>
      <c r="G130" s="161"/>
      <c r="H130" s="180"/>
      <c r="I130" s="161"/>
      <c r="J130" s="162"/>
    </row>
    <row r="131" spans="2:10">
      <c r="B131" s="177"/>
      <c r="C131" s="178"/>
      <c r="D131" s="179"/>
      <c r="E131" s="179"/>
      <c r="F131" s="179"/>
      <c r="G131" s="161"/>
      <c r="H131" s="180"/>
      <c r="I131" s="161"/>
      <c r="J131" s="162"/>
    </row>
    <row r="132" spans="2:10">
      <c r="B132" s="177"/>
      <c r="C132" s="178"/>
      <c r="D132" s="179"/>
      <c r="E132" s="179"/>
      <c r="F132" s="179"/>
      <c r="G132" s="161"/>
      <c r="H132" s="161"/>
      <c r="I132" s="161"/>
      <c r="J132" s="162"/>
    </row>
    <row r="133" spans="2:10">
      <c r="B133" s="177"/>
      <c r="C133" s="178"/>
      <c r="D133" s="179"/>
      <c r="E133" s="179"/>
      <c r="F133" s="179"/>
      <c r="G133" s="161"/>
      <c r="H133" s="161"/>
      <c r="I133" s="161"/>
      <c r="J133" s="162"/>
    </row>
    <row r="134" spans="2:10">
      <c r="B134" s="177"/>
      <c r="C134" s="178"/>
      <c r="D134" s="179"/>
      <c r="E134" s="179"/>
      <c r="F134" s="179"/>
      <c r="G134" s="161"/>
      <c r="H134" s="161"/>
      <c r="I134" s="161"/>
      <c r="J134" s="162"/>
    </row>
    <row r="135" spans="2:10">
      <c r="B135" s="177"/>
      <c r="C135" s="178"/>
      <c r="D135" s="179"/>
      <c r="E135" s="179"/>
      <c r="F135" s="179"/>
      <c r="G135" s="161"/>
      <c r="H135" s="161"/>
      <c r="I135" s="161"/>
      <c r="J135" s="162"/>
    </row>
    <row r="136" spans="2:10">
      <c r="B136" s="177"/>
      <c r="C136" s="178"/>
      <c r="D136" s="179"/>
      <c r="E136" s="179"/>
      <c r="F136" s="179"/>
      <c r="G136" s="161"/>
      <c r="H136" s="161"/>
      <c r="I136" s="161"/>
      <c r="J136" s="162"/>
    </row>
    <row r="137" spans="2:10">
      <c r="B137" s="167"/>
      <c r="C137" s="175"/>
      <c r="D137" s="176"/>
      <c r="E137" s="164"/>
      <c r="F137" s="159"/>
      <c r="G137" s="161"/>
      <c r="H137" s="161"/>
      <c r="I137" s="161"/>
      <c r="J137" s="162"/>
    </row>
    <row r="138" spans="2:10">
      <c r="B138" s="167"/>
      <c r="C138" s="175"/>
      <c r="D138" s="176"/>
      <c r="E138" s="164"/>
      <c r="F138" s="159"/>
      <c r="G138" s="161"/>
      <c r="H138" s="161"/>
      <c r="I138" s="161"/>
      <c r="J138" s="162"/>
    </row>
    <row r="139" spans="2:10">
      <c r="B139" s="177"/>
      <c r="C139" s="178"/>
      <c r="D139" s="179"/>
      <c r="E139" s="179"/>
      <c r="F139" s="179"/>
      <c r="G139" s="161"/>
      <c r="H139" s="161"/>
      <c r="I139" s="161"/>
      <c r="J139" s="162"/>
    </row>
    <row r="140" spans="2:10">
      <c r="B140" s="177"/>
      <c r="C140" s="178"/>
      <c r="D140" s="179"/>
      <c r="E140" s="179"/>
      <c r="F140" s="179"/>
      <c r="G140" s="161"/>
      <c r="H140" s="161"/>
      <c r="I140" s="161"/>
      <c r="J140" s="162"/>
    </row>
    <row r="141" spans="2:10">
      <c r="B141" s="177"/>
      <c r="C141" s="178"/>
      <c r="D141" s="179"/>
      <c r="E141" s="179"/>
      <c r="F141" s="179"/>
      <c r="G141" s="161"/>
      <c r="H141" s="161"/>
      <c r="I141" s="161"/>
      <c r="J141" s="162"/>
    </row>
    <row r="142" spans="2:10">
      <c r="B142" s="177"/>
      <c r="C142" s="178"/>
      <c r="D142" s="179"/>
      <c r="E142" s="179"/>
      <c r="F142" s="179"/>
      <c r="G142" s="161"/>
      <c r="H142" s="161"/>
      <c r="I142" s="161"/>
      <c r="J142" s="162"/>
    </row>
    <row r="143" spans="2:10">
      <c r="B143" s="177"/>
      <c r="C143" s="178"/>
      <c r="D143" s="179"/>
      <c r="E143" s="179"/>
      <c r="F143" s="179"/>
      <c r="G143" s="161"/>
      <c r="H143" s="161"/>
      <c r="I143" s="161"/>
      <c r="J143" s="162"/>
    </row>
    <row r="144" spans="2:10">
      <c r="B144" s="177"/>
      <c r="C144" s="178"/>
      <c r="D144" s="179"/>
      <c r="E144" s="179"/>
      <c r="F144" s="179"/>
      <c r="G144" s="161"/>
      <c r="H144" s="180"/>
      <c r="I144" s="161"/>
      <c r="J144" s="162"/>
    </row>
    <row r="145" spans="2:10">
      <c r="B145" s="177"/>
      <c r="C145" s="178"/>
      <c r="D145" s="179"/>
      <c r="E145" s="179"/>
      <c r="F145" s="179"/>
      <c r="G145" s="161"/>
      <c r="H145" s="180"/>
      <c r="I145" s="161"/>
      <c r="J145" s="162"/>
    </row>
    <row r="146" spans="2:10">
      <c r="B146" s="177"/>
      <c r="C146" s="178"/>
      <c r="D146" s="179"/>
      <c r="E146" s="179"/>
      <c r="F146" s="179"/>
      <c r="G146" s="161"/>
      <c r="H146" s="161"/>
      <c r="I146" s="161"/>
      <c r="J146" s="162"/>
    </row>
    <row r="147" spans="2:10">
      <c r="B147" s="177"/>
      <c r="C147" s="178"/>
      <c r="D147" s="179"/>
      <c r="E147" s="179"/>
      <c r="F147" s="179"/>
      <c r="G147" s="161"/>
      <c r="H147" s="161"/>
      <c r="I147" s="161"/>
      <c r="J147" s="162"/>
    </row>
    <row r="148" spans="2:10">
      <c r="B148" s="177"/>
      <c r="C148" s="178"/>
      <c r="D148" s="179"/>
      <c r="E148" s="179"/>
      <c r="F148" s="179"/>
      <c r="G148" s="161"/>
      <c r="H148" s="161"/>
      <c r="I148" s="161"/>
      <c r="J148" s="162"/>
    </row>
    <row r="149" spans="2:10">
      <c r="B149" s="177"/>
      <c r="C149" s="178"/>
      <c r="D149" s="179"/>
      <c r="E149" s="179"/>
      <c r="F149" s="179"/>
      <c r="G149" s="161"/>
      <c r="H149" s="161"/>
      <c r="I149" s="161"/>
      <c r="J149" s="162"/>
    </row>
    <row r="150" spans="2:10">
      <c r="B150" s="177"/>
      <c r="C150" s="178"/>
      <c r="D150" s="179"/>
      <c r="E150" s="179"/>
      <c r="F150" s="179"/>
      <c r="G150" s="161"/>
      <c r="H150" s="161"/>
      <c r="I150" s="161"/>
      <c r="J150" s="162"/>
    </row>
    <row r="151" spans="2:10">
      <c r="B151" s="181"/>
      <c r="C151" s="182"/>
      <c r="D151" s="183"/>
      <c r="E151" s="184"/>
      <c r="F151" s="184"/>
      <c r="G151" s="183"/>
      <c r="H151" s="184"/>
      <c r="I151" s="183"/>
    </row>
    <row r="152" spans="2:10">
      <c r="B152" s="181"/>
      <c r="C152" s="182"/>
      <c r="D152" s="183"/>
      <c r="E152" s="184"/>
      <c r="F152" s="184"/>
      <c r="G152" s="183"/>
      <c r="H152" s="184"/>
      <c r="I152" s="183"/>
    </row>
    <row r="153" spans="2:10">
      <c r="B153" s="181"/>
      <c r="C153" s="182"/>
      <c r="D153" s="183"/>
      <c r="E153" s="184"/>
      <c r="F153" s="184"/>
      <c r="G153" s="183"/>
      <c r="H153" s="184"/>
      <c r="I153" s="183"/>
    </row>
    <row r="154" spans="2:10">
      <c r="B154" s="181"/>
      <c r="C154" s="182"/>
      <c r="D154" s="183"/>
      <c r="E154" s="184"/>
      <c r="F154" s="184"/>
      <c r="G154" s="183"/>
      <c r="H154" s="184"/>
      <c r="I154" s="183"/>
    </row>
    <row r="155" spans="2:10">
      <c r="B155" s="181"/>
      <c r="C155" s="182"/>
      <c r="D155" s="183"/>
      <c r="E155" s="184"/>
      <c r="F155" s="184"/>
      <c r="G155" s="183"/>
      <c r="H155" s="184"/>
      <c r="I155" s="183"/>
    </row>
    <row r="156" spans="2:10">
      <c r="B156" s="181"/>
      <c r="C156" s="182"/>
      <c r="D156" s="183"/>
      <c r="E156" s="184"/>
      <c r="F156" s="184"/>
      <c r="G156" s="183"/>
      <c r="H156" s="184"/>
      <c r="I156" s="183"/>
    </row>
    <row r="157" spans="2:10">
      <c r="B157" s="181"/>
      <c r="C157" s="182"/>
      <c r="D157" s="183"/>
      <c r="E157" s="184"/>
      <c r="F157" s="184"/>
      <c r="G157" s="183"/>
      <c r="H157" s="184"/>
      <c r="I157" s="183"/>
    </row>
    <row r="158" spans="2:10">
      <c r="B158" s="181"/>
      <c r="C158" s="182"/>
      <c r="D158" s="183"/>
      <c r="E158" s="184"/>
      <c r="F158" s="184"/>
      <c r="G158" s="183"/>
      <c r="H158" s="184"/>
      <c r="I158" s="183"/>
    </row>
    <row r="159" spans="2:10">
      <c r="B159" s="181"/>
      <c r="C159" s="182"/>
      <c r="D159" s="183"/>
      <c r="E159" s="184"/>
      <c r="F159" s="184"/>
      <c r="G159" s="183"/>
      <c r="H159" s="184"/>
      <c r="I159" s="183"/>
    </row>
    <row r="160" spans="2:10">
      <c r="B160" s="181"/>
      <c r="C160" s="182"/>
      <c r="D160" s="183"/>
      <c r="E160" s="184"/>
      <c r="F160" s="184"/>
      <c r="G160" s="183"/>
      <c r="H160" s="184"/>
      <c r="I160" s="183"/>
    </row>
    <row r="161" spans="2:9">
      <c r="B161" s="181"/>
      <c r="C161" s="182"/>
      <c r="D161" s="183"/>
      <c r="E161" s="184"/>
      <c r="F161" s="184"/>
      <c r="G161" s="183"/>
      <c r="H161" s="184"/>
      <c r="I161" s="183"/>
    </row>
    <row r="162" spans="2:9">
      <c r="B162" s="181"/>
      <c r="C162" s="182"/>
      <c r="D162" s="183"/>
      <c r="E162" s="184"/>
      <c r="F162" s="184"/>
      <c r="G162" s="183"/>
      <c r="H162" s="184"/>
      <c r="I162" s="183"/>
    </row>
    <row r="163" spans="2:9">
      <c r="B163" s="181"/>
      <c r="C163" s="182"/>
      <c r="D163" s="183"/>
      <c r="E163" s="184"/>
      <c r="F163" s="184"/>
      <c r="G163" s="183"/>
      <c r="H163" s="184"/>
      <c r="I163" s="183"/>
    </row>
    <row r="164" spans="2:9">
      <c r="B164" s="181"/>
      <c r="C164" s="182"/>
      <c r="D164" s="183"/>
      <c r="E164" s="184"/>
      <c r="F164" s="184"/>
      <c r="G164" s="183"/>
      <c r="H164" s="184"/>
      <c r="I164" s="183"/>
    </row>
    <row r="165" spans="2:9">
      <c r="B165" s="181"/>
      <c r="C165" s="182"/>
      <c r="D165" s="183"/>
      <c r="E165" s="184"/>
      <c r="F165" s="184"/>
      <c r="G165" s="183"/>
      <c r="H165" s="184"/>
      <c r="I165" s="183"/>
    </row>
    <row r="166" spans="2:9">
      <c r="B166" s="181"/>
      <c r="C166" s="182"/>
      <c r="D166" s="183"/>
      <c r="E166" s="184"/>
      <c r="F166" s="184"/>
      <c r="G166" s="183"/>
      <c r="H166" s="184"/>
      <c r="I166" s="183"/>
    </row>
    <row r="167" spans="2:9">
      <c r="B167" s="181"/>
      <c r="C167" s="182"/>
      <c r="D167" s="183"/>
      <c r="E167" s="184"/>
      <c r="F167" s="184"/>
      <c r="G167" s="183"/>
      <c r="H167" s="184"/>
      <c r="I167" s="183"/>
    </row>
    <row r="168" spans="2:9">
      <c r="B168" s="181"/>
      <c r="C168" s="182"/>
      <c r="D168" s="183"/>
      <c r="E168" s="184"/>
      <c r="F168" s="184"/>
      <c r="G168" s="183"/>
      <c r="H168" s="184"/>
      <c r="I168" s="183"/>
    </row>
    <row r="169" spans="2:9">
      <c r="B169" s="181"/>
      <c r="C169" s="182"/>
      <c r="D169" s="183"/>
      <c r="E169" s="184"/>
      <c r="F169" s="184"/>
      <c r="G169" s="183"/>
      <c r="H169" s="184"/>
      <c r="I169" s="183"/>
    </row>
    <row r="170" spans="2:9">
      <c r="B170" s="181"/>
      <c r="C170" s="182"/>
      <c r="D170" s="183"/>
      <c r="E170" s="184"/>
      <c r="F170" s="184"/>
      <c r="G170" s="183"/>
      <c r="H170" s="184"/>
      <c r="I170" s="183"/>
    </row>
    <row r="171" spans="2:9">
      <c r="B171" s="181"/>
      <c r="C171" s="182"/>
      <c r="D171" s="183"/>
      <c r="E171" s="184"/>
      <c r="F171" s="184"/>
      <c r="G171" s="183"/>
      <c r="H171" s="184"/>
      <c r="I171" s="183"/>
    </row>
    <row r="172" spans="2:9">
      <c r="B172" s="181"/>
      <c r="C172" s="182"/>
      <c r="D172" s="183"/>
      <c r="E172" s="184"/>
      <c r="F172" s="184"/>
      <c r="G172" s="183"/>
      <c r="H172" s="184"/>
      <c r="I172" s="183"/>
    </row>
    <row r="173" spans="2:9">
      <c r="B173" s="181"/>
      <c r="C173" s="182"/>
      <c r="D173" s="183"/>
      <c r="E173" s="184"/>
      <c r="F173" s="184"/>
      <c r="G173" s="183"/>
      <c r="H173" s="184"/>
      <c r="I173" s="183"/>
    </row>
    <row r="174" spans="2:9">
      <c r="B174" s="181"/>
      <c r="C174" s="182"/>
      <c r="D174" s="183"/>
      <c r="E174" s="184"/>
      <c r="F174" s="184"/>
      <c r="G174" s="183"/>
      <c r="H174" s="184"/>
      <c r="I174" s="183"/>
    </row>
    <row r="175" spans="2:9">
      <c r="B175" s="181"/>
      <c r="C175" s="182"/>
      <c r="D175" s="183"/>
      <c r="E175" s="184"/>
      <c r="F175" s="184"/>
      <c r="G175" s="183"/>
      <c r="H175" s="184"/>
      <c r="I175" s="183"/>
    </row>
    <row r="176" spans="2:9">
      <c r="B176" s="181"/>
      <c r="C176" s="182"/>
      <c r="D176" s="183"/>
      <c r="E176" s="184"/>
      <c r="F176" s="184"/>
      <c r="G176" s="183"/>
      <c r="H176" s="184"/>
      <c r="I176" s="183"/>
    </row>
    <row r="177" spans="2:9">
      <c r="B177" s="181"/>
      <c r="C177" s="182"/>
      <c r="D177" s="183"/>
      <c r="E177" s="184"/>
      <c r="F177" s="184"/>
      <c r="G177" s="183"/>
      <c r="H177" s="184"/>
      <c r="I177" s="183"/>
    </row>
    <row r="178" spans="2:9">
      <c r="B178" s="181"/>
      <c r="C178" s="182"/>
      <c r="D178" s="183"/>
      <c r="E178" s="184"/>
      <c r="F178" s="184"/>
      <c r="G178" s="183"/>
      <c r="H178" s="184"/>
      <c r="I178" s="183"/>
    </row>
    <row r="179" spans="2:9">
      <c r="B179" s="181"/>
      <c r="C179" s="182"/>
      <c r="D179" s="183"/>
      <c r="E179" s="184"/>
      <c r="F179" s="184"/>
      <c r="G179" s="183"/>
      <c r="H179" s="184"/>
      <c r="I179" s="183"/>
    </row>
    <row r="180" spans="2:9">
      <c r="B180" s="181"/>
      <c r="C180" s="182"/>
      <c r="D180" s="183"/>
      <c r="E180" s="184"/>
      <c r="F180" s="184"/>
      <c r="G180" s="183"/>
      <c r="H180" s="184"/>
      <c r="I180" s="183"/>
    </row>
    <row r="181" spans="2:9">
      <c r="B181" s="181"/>
      <c r="C181" s="182"/>
      <c r="D181" s="183"/>
      <c r="E181" s="184"/>
      <c r="F181" s="184"/>
      <c r="G181" s="183"/>
      <c r="H181" s="184"/>
      <c r="I181" s="183"/>
    </row>
    <row r="182" spans="2:9">
      <c r="B182" s="181"/>
      <c r="C182" s="182"/>
      <c r="D182" s="183"/>
      <c r="E182" s="184"/>
      <c r="F182" s="184"/>
      <c r="G182" s="183"/>
      <c r="H182" s="184"/>
      <c r="I182" s="183"/>
    </row>
    <row r="183" spans="2:9">
      <c r="B183" s="181"/>
      <c r="C183" s="182"/>
      <c r="D183" s="183"/>
      <c r="E183" s="184"/>
      <c r="F183" s="184"/>
      <c r="G183" s="183"/>
      <c r="H183" s="184"/>
      <c r="I183" s="183"/>
    </row>
    <row r="184" spans="2:9">
      <c r="B184" s="181"/>
      <c r="C184" s="182"/>
      <c r="D184" s="183"/>
      <c r="E184" s="184"/>
      <c r="F184" s="184"/>
      <c r="G184" s="183"/>
      <c r="H184" s="184"/>
      <c r="I184" s="183"/>
    </row>
    <row r="185" spans="2:9">
      <c r="B185" s="181"/>
      <c r="C185" s="182"/>
      <c r="D185" s="183"/>
      <c r="E185" s="184"/>
      <c r="F185" s="184"/>
      <c r="G185" s="183"/>
      <c r="H185" s="184"/>
      <c r="I185" s="183"/>
    </row>
    <row r="186" spans="2:9">
      <c r="B186" s="181"/>
      <c r="C186" s="182"/>
      <c r="D186" s="183"/>
      <c r="E186" s="184"/>
      <c r="F186" s="184"/>
      <c r="G186" s="183"/>
      <c r="H186" s="184"/>
      <c r="I186" s="183"/>
    </row>
    <row r="187" spans="2:9">
      <c r="B187" s="181"/>
      <c r="C187" s="182"/>
      <c r="D187" s="183"/>
      <c r="E187" s="184"/>
      <c r="F187" s="184"/>
      <c r="G187" s="183"/>
      <c r="H187" s="184"/>
      <c r="I187" s="183"/>
    </row>
    <row r="188" spans="2:9">
      <c r="B188" s="181"/>
      <c r="C188" s="182"/>
      <c r="D188" s="183"/>
      <c r="E188" s="184"/>
      <c r="F188" s="184"/>
      <c r="G188" s="183"/>
      <c r="H188" s="184"/>
      <c r="I188" s="183"/>
    </row>
    <row r="189" spans="2:9">
      <c r="B189" s="181"/>
      <c r="C189" s="182"/>
      <c r="D189" s="183"/>
      <c r="E189" s="184"/>
      <c r="F189" s="184"/>
      <c r="G189" s="183"/>
      <c r="H189" s="184"/>
      <c r="I189" s="183"/>
    </row>
    <row r="190" spans="2:9">
      <c r="B190" s="181"/>
      <c r="C190" s="182"/>
      <c r="D190" s="183"/>
      <c r="E190" s="184"/>
      <c r="F190" s="184"/>
      <c r="G190" s="183"/>
      <c r="H190" s="184"/>
      <c r="I190" s="183"/>
    </row>
    <row r="191" spans="2:9">
      <c r="B191" s="181"/>
      <c r="C191" s="182"/>
      <c r="D191" s="183"/>
      <c r="E191" s="184"/>
      <c r="F191" s="184"/>
      <c r="G191" s="183"/>
      <c r="H191" s="184"/>
      <c r="I191" s="183"/>
    </row>
    <row r="192" spans="2:9">
      <c r="B192" s="181"/>
      <c r="C192" s="182"/>
      <c r="D192" s="183"/>
      <c r="E192" s="184"/>
      <c r="F192" s="184"/>
      <c r="G192" s="183"/>
      <c r="H192" s="184"/>
      <c r="I192" s="183"/>
    </row>
    <row r="193" spans="2:9">
      <c r="B193" s="181"/>
      <c r="C193" s="182"/>
      <c r="D193" s="183"/>
      <c r="E193" s="184"/>
      <c r="F193" s="184"/>
      <c r="G193" s="183"/>
      <c r="H193" s="184"/>
      <c r="I193" s="183"/>
    </row>
    <row r="194" spans="2:9">
      <c r="B194" s="181"/>
      <c r="C194" s="182"/>
      <c r="D194" s="183"/>
      <c r="E194" s="184"/>
      <c r="F194" s="184"/>
      <c r="G194" s="183"/>
      <c r="H194" s="184"/>
      <c r="I194" s="183"/>
    </row>
    <row r="195" spans="2:9">
      <c r="B195" s="181"/>
      <c r="C195" s="182"/>
      <c r="D195" s="183"/>
      <c r="E195" s="184"/>
      <c r="F195" s="184"/>
      <c r="G195" s="183"/>
      <c r="H195" s="184"/>
      <c r="I195" s="183"/>
    </row>
    <row r="196" spans="2:9">
      <c r="B196" s="181"/>
      <c r="C196" s="182"/>
      <c r="D196" s="183"/>
      <c r="E196" s="184"/>
      <c r="F196" s="184"/>
      <c r="G196" s="183"/>
      <c r="H196" s="184"/>
      <c r="I196" s="183"/>
    </row>
    <row r="197" spans="2:9">
      <c r="B197" s="181"/>
      <c r="C197" s="182"/>
      <c r="D197" s="183"/>
      <c r="E197" s="184"/>
      <c r="F197" s="184"/>
      <c r="G197" s="183"/>
      <c r="H197" s="184"/>
      <c r="I197" s="183"/>
    </row>
    <row r="198" spans="2:9">
      <c r="B198" s="181"/>
      <c r="C198" s="182"/>
      <c r="D198" s="183"/>
      <c r="E198" s="184"/>
      <c r="F198" s="184"/>
      <c r="G198" s="183"/>
      <c r="H198" s="184"/>
      <c r="I198" s="183"/>
    </row>
    <row r="199" spans="2:9">
      <c r="B199" s="181"/>
      <c r="C199" s="182"/>
      <c r="D199" s="183"/>
      <c r="E199" s="184"/>
      <c r="F199" s="184"/>
      <c r="G199" s="183"/>
      <c r="H199" s="184"/>
      <c r="I199" s="183"/>
    </row>
    <row r="200" spans="2:9">
      <c r="B200" s="181"/>
      <c r="C200" s="182"/>
      <c r="D200" s="183"/>
      <c r="E200" s="184"/>
      <c r="F200" s="184"/>
      <c r="G200" s="183"/>
      <c r="H200" s="184"/>
      <c r="I200" s="183"/>
    </row>
    <row r="201" spans="2:9">
      <c r="B201" s="181"/>
      <c r="C201" s="182"/>
      <c r="D201" s="183"/>
      <c r="E201" s="184"/>
      <c r="F201" s="184"/>
      <c r="G201" s="183"/>
      <c r="H201" s="184"/>
      <c r="I201" s="183"/>
    </row>
    <row r="202" spans="2:9">
      <c r="B202" s="181"/>
      <c r="C202" s="182"/>
      <c r="D202" s="183"/>
      <c r="E202" s="184"/>
      <c r="F202" s="184"/>
      <c r="G202" s="183"/>
      <c r="H202" s="184"/>
      <c r="I202" s="183"/>
    </row>
    <row r="203" spans="2:9">
      <c r="B203" s="181"/>
      <c r="C203" s="182"/>
      <c r="D203" s="183"/>
      <c r="E203" s="184"/>
      <c r="F203" s="184"/>
      <c r="G203" s="183"/>
      <c r="H203" s="184"/>
      <c r="I203" s="183"/>
    </row>
    <row r="204" spans="2:9">
      <c r="B204" s="181"/>
      <c r="C204" s="182"/>
      <c r="D204" s="183"/>
      <c r="E204" s="184"/>
      <c r="F204" s="184"/>
      <c r="G204" s="183"/>
      <c r="H204" s="184"/>
      <c r="I204" s="183"/>
    </row>
    <row r="205" spans="2:9">
      <c r="B205" s="181"/>
      <c r="C205" s="182"/>
      <c r="D205" s="183"/>
      <c r="E205" s="184"/>
      <c r="F205" s="184"/>
      <c r="G205" s="183"/>
      <c r="H205" s="184"/>
      <c r="I205" s="183"/>
    </row>
    <row r="206" spans="2:9">
      <c r="B206" s="181"/>
      <c r="C206" s="182"/>
      <c r="D206" s="183"/>
      <c r="E206" s="184"/>
      <c r="F206" s="184"/>
      <c r="G206" s="183"/>
      <c r="H206" s="184"/>
      <c r="I206" s="183"/>
    </row>
    <row r="207" spans="2:9">
      <c r="B207" s="181"/>
      <c r="C207" s="182"/>
      <c r="D207" s="183"/>
      <c r="E207" s="184"/>
      <c r="F207" s="184"/>
      <c r="G207" s="183"/>
      <c r="H207" s="184"/>
      <c r="I207" s="183"/>
    </row>
    <row r="208" spans="2:9">
      <c r="B208" s="181"/>
      <c r="C208" s="182"/>
      <c r="D208" s="183"/>
      <c r="E208" s="184"/>
      <c r="F208" s="184"/>
      <c r="G208" s="183"/>
      <c r="H208" s="184"/>
      <c r="I208" s="183"/>
    </row>
    <row r="209" spans="2:9">
      <c r="B209" s="181"/>
      <c r="C209" s="182"/>
      <c r="D209" s="183"/>
      <c r="E209" s="184"/>
      <c r="F209" s="184"/>
      <c r="G209" s="183"/>
      <c r="H209" s="184"/>
      <c r="I209" s="183"/>
    </row>
    <row r="210" spans="2:9">
      <c r="B210" s="181"/>
      <c r="C210" s="182"/>
      <c r="D210" s="183"/>
      <c r="E210" s="184"/>
      <c r="F210" s="184"/>
      <c r="G210" s="183"/>
      <c r="H210" s="184"/>
      <c r="I210" s="183"/>
    </row>
    <row r="211" spans="2:9">
      <c r="B211" s="181"/>
      <c r="C211" s="182"/>
      <c r="D211" s="183"/>
      <c r="E211" s="184"/>
      <c r="F211" s="184"/>
      <c r="G211" s="183"/>
      <c r="H211" s="184"/>
      <c r="I211" s="183"/>
    </row>
    <row r="212" spans="2:9">
      <c r="B212" s="181"/>
      <c r="C212" s="182"/>
      <c r="D212" s="183"/>
      <c r="E212" s="184"/>
      <c r="F212" s="184"/>
      <c r="G212" s="183"/>
      <c r="H212" s="184"/>
      <c r="I212" s="183"/>
    </row>
    <row r="213" spans="2:9">
      <c r="B213" s="181"/>
      <c r="C213" s="182"/>
      <c r="D213" s="183"/>
      <c r="E213" s="184"/>
      <c r="F213" s="184"/>
      <c r="G213" s="183"/>
      <c r="H213" s="184"/>
      <c r="I213" s="183"/>
    </row>
    <row r="214" spans="2:9">
      <c r="B214" s="181"/>
      <c r="C214" s="182"/>
      <c r="D214" s="183"/>
      <c r="E214" s="184"/>
      <c r="F214" s="184"/>
      <c r="G214" s="183"/>
      <c r="H214" s="184"/>
      <c r="I214" s="183"/>
    </row>
    <row r="215" spans="2:9">
      <c r="B215" s="181"/>
      <c r="C215" s="182"/>
      <c r="D215" s="183"/>
      <c r="E215" s="184"/>
      <c r="F215" s="184"/>
      <c r="G215" s="183"/>
      <c r="H215" s="184"/>
      <c r="I215" s="183"/>
    </row>
    <row r="216" spans="2:9">
      <c r="B216" s="181"/>
      <c r="C216" s="182"/>
      <c r="D216" s="183"/>
      <c r="E216" s="184"/>
      <c r="F216" s="184"/>
      <c r="G216" s="183"/>
      <c r="H216" s="184"/>
      <c r="I216" s="183"/>
    </row>
    <row r="217" spans="2:9">
      <c r="B217" s="181"/>
      <c r="C217" s="182"/>
      <c r="D217" s="183"/>
      <c r="E217" s="184"/>
      <c r="F217" s="184"/>
      <c r="G217" s="183"/>
      <c r="H217" s="184"/>
      <c r="I217" s="183"/>
    </row>
    <row r="218" spans="2:9">
      <c r="B218" s="181"/>
      <c r="C218" s="182"/>
      <c r="D218" s="183"/>
      <c r="E218" s="184"/>
      <c r="F218" s="184"/>
      <c r="G218" s="183"/>
      <c r="H218" s="184"/>
      <c r="I218" s="183"/>
    </row>
    <row r="219" spans="2:9">
      <c r="B219" s="181"/>
      <c r="C219" s="182"/>
      <c r="D219" s="183"/>
      <c r="E219" s="184"/>
      <c r="F219" s="184"/>
      <c r="G219" s="183"/>
      <c r="H219" s="184"/>
      <c r="I219" s="183"/>
    </row>
    <row r="220" spans="2:9">
      <c r="B220" s="181"/>
      <c r="C220" s="182"/>
      <c r="D220" s="183"/>
      <c r="E220" s="184"/>
      <c r="F220" s="184"/>
      <c r="G220" s="183"/>
      <c r="H220" s="184"/>
      <c r="I220" s="183"/>
    </row>
    <row r="221" spans="2:9">
      <c r="B221" s="181"/>
      <c r="C221" s="182"/>
      <c r="D221" s="183"/>
      <c r="E221" s="184"/>
      <c r="F221" s="184"/>
      <c r="G221" s="183"/>
      <c r="H221" s="184"/>
      <c r="I221" s="183"/>
    </row>
    <row r="222" spans="2:9">
      <c r="B222" s="181"/>
      <c r="C222" s="182"/>
      <c r="D222" s="183"/>
      <c r="E222" s="184"/>
      <c r="F222" s="184"/>
      <c r="G222" s="183"/>
      <c r="H222" s="184"/>
      <c r="I222" s="183"/>
    </row>
    <row r="223" spans="2:9">
      <c r="B223" s="181"/>
      <c r="C223" s="182"/>
      <c r="D223" s="183"/>
      <c r="E223" s="184"/>
      <c r="F223" s="184"/>
      <c r="G223" s="183"/>
      <c r="H223" s="184"/>
      <c r="I223" s="183"/>
    </row>
    <row r="224" spans="2:9">
      <c r="B224" s="181"/>
      <c r="C224" s="182"/>
      <c r="D224" s="183"/>
      <c r="E224" s="184"/>
      <c r="F224" s="184"/>
      <c r="G224" s="183"/>
      <c r="H224" s="184"/>
      <c r="I224" s="183"/>
    </row>
    <row r="225" spans="2:9">
      <c r="B225" s="181"/>
      <c r="C225" s="182"/>
      <c r="D225" s="183"/>
      <c r="E225" s="184"/>
      <c r="F225" s="184"/>
      <c r="G225" s="183"/>
      <c r="H225" s="184"/>
      <c r="I225" s="183"/>
    </row>
    <row r="226" spans="2:9">
      <c r="B226" s="181"/>
      <c r="C226" s="182"/>
      <c r="D226" s="183"/>
      <c r="E226" s="184"/>
      <c r="F226" s="184"/>
      <c r="G226" s="183"/>
      <c r="H226" s="184"/>
      <c r="I226" s="183"/>
    </row>
    <row r="227" spans="2:9">
      <c r="B227" s="181"/>
      <c r="C227" s="182"/>
      <c r="D227" s="183"/>
      <c r="E227" s="184"/>
      <c r="F227" s="184"/>
      <c r="G227" s="183"/>
      <c r="H227" s="184"/>
      <c r="I227" s="183"/>
    </row>
    <row r="228" spans="2:9">
      <c r="B228" s="181"/>
      <c r="C228" s="182"/>
      <c r="D228" s="183"/>
      <c r="E228" s="184"/>
      <c r="F228" s="184"/>
      <c r="G228" s="183"/>
      <c r="H228" s="184"/>
      <c r="I228" s="183"/>
    </row>
    <row r="229" spans="2:9">
      <c r="B229" s="181"/>
      <c r="C229" s="182"/>
      <c r="D229" s="183"/>
      <c r="E229" s="184"/>
      <c r="F229" s="184"/>
      <c r="G229" s="183"/>
      <c r="H229" s="184"/>
      <c r="I229" s="183"/>
    </row>
    <row r="230" spans="2:9">
      <c r="B230" s="181"/>
      <c r="C230" s="182"/>
      <c r="D230" s="183"/>
      <c r="E230" s="184"/>
      <c r="F230" s="184"/>
      <c r="G230" s="183"/>
      <c r="H230" s="184"/>
      <c r="I230" s="183"/>
    </row>
    <row r="231" spans="2:9">
      <c r="B231" s="181"/>
      <c r="C231" s="182"/>
      <c r="D231" s="183"/>
      <c r="E231" s="184"/>
      <c r="F231" s="184"/>
      <c r="G231" s="183"/>
      <c r="H231" s="184"/>
      <c r="I231" s="183"/>
    </row>
    <row r="232" spans="2:9">
      <c r="B232" s="181"/>
      <c r="C232" s="182"/>
      <c r="D232" s="183"/>
      <c r="E232" s="184"/>
      <c r="F232" s="184"/>
      <c r="G232" s="183"/>
      <c r="H232" s="184"/>
      <c r="I232" s="183"/>
    </row>
    <row r="233" spans="2:9">
      <c r="B233" s="181"/>
      <c r="C233" s="182"/>
      <c r="D233" s="183"/>
      <c r="E233" s="184"/>
      <c r="F233" s="184"/>
      <c r="G233" s="183"/>
      <c r="H233" s="184"/>
      <c r="I233" s="183"/>
    </row>
    <row r="234" spans="2:9">
      <c r="B234" s="181"/>
      <c r="C234" s="182"/>
      <c r="D234" s="183"/>
      <c r="E234" s="184"/>
      <c r="F234" s="184"/>
      <c r="G234" s="183"/>
      <c r="H234" s="184"/>
      <c r="I234" s="183"/>
    </row>
    <row r="235" spans="2:9">
      <c r="B235" s="181"/>
      <c r="C235" s="182"/>
      <c r="D235" s="183"/>
      <c r="E235" s="184"/>
      <c r="F235" s="184"/>
      <c r="G235" s="183"/>
      <c r="H235" s="184"/>
      <c r="I235" s="183"/>
    </row>
    <row r="236" spans="2:9">
      <c r="B236" s="181"/>
      <c r="C236" s="182"/>
      <c r="D236" s="183"/>
      <c r="E236" s="184"/>
      <c r="F236" s="184"/>
      <c r="G236" s="183"/>
      <c r="H236" s="184"/>
      <c r="I236" s="183"/>
    </row>
    <row r="237" spans="2:9">
      <c r="B237" s="181"/>
      <c r="C237" s="182"/>
      <c r="D237" s="183"/>
      <c r="E237" s="184"/>
      <c r="F237" s="184"/>
      <c r="G237" s="183"/>
      <c r="H237" s="184"/>
      <c r="I237" s="183"/>
    </row>
    <row r="238" spans="2:9">
      <c r="B238" s="181"/>
      <c r="C238" s="182"/>
      <c r="D238" s="183"/>
      <c r="E238" s="184"/>
      <c r="F238" s="184"/>
      <c r="G238" s="183"/>
      <c r="H238" s="184"/>
      <c r="I238" s="183"/>
    </row>
    <row r="239" spans="2:9">
      <c r="B239" s="181"/>
      <c r="C239" s="182"/>
      <c r="D239" s="183"/>
      <c r="E239" s="184"/>
      <c r="F239" s="184"/>
      <c r="G239" s="183"/>
      <c r="H239" s="184"/>
      <c r="I239" s="183"/>
    </row>
    <row r="240" spans="2:9">
      <c r="B240" s="181"/>
      <c r="C240" s="182"/>
      <c r="D240" s="183"/>
      <c r="E240" s="184"/>
      <c r="F240" s="184"/>
      <c r="G240" s="183"/>
      <c r="H240" s="184"/>
      <c r="I240" s="183"/>
    </row>
    <row r="241" spans="2:9">
      <c r="B241" s="181"/>
      <c r="C241" s="182"/>
      <c r="D241" s="183"/>
      <c r="E241" s="184"/>
      <c r="F241" s="184"/>
      <c r="G241" s="183"/>
      <c r="H241" s="184"/>
      <c r="I241" s="183"/>
    </row>
    <row r="242" spans="2:9">
      <c r="B242" s="181"/>
      <c r="C242" s="182"/>
      <c r="D242" s="183"/>
      <c r="E242" s="184"/>
      <c r="F242" s="184"/>
      <c r="G242" s="183"/>
      <c r="H242" s="184"/>
      <c r="I242" s="183"/>
    </row>
    <row r="243" spans="2:9">
      <c r="B243" s="181"/>
      <c r="C243" s="182"/>
      <c r="D243" s="183"/>
      <c r="E243" s="184"/>
      <c r="F243" s="184"/>
      <c r="G243" s="183"/>
      <c r="H243" s="184"/>
      <c r="I243" s="183"/>
    </row>
    <row r="244" spans="2:9">
      <c r="B244" s="181"/>
      <c r="C244" s="182"/>
      <c r="D244" s="183"/>
      <c r="E244" s="184"/>
      <c r="F244" s="184"/>
      <c r="G244" s="183"/>
      <c r="H244" s="184"/>
      <c r="I244" s="183"/>
    </row>
    <row r="245" spans="2:9">
      <c r="B245" s="181"/>
      <c r="C245" s="182"/>
      <c r="D245" s="183"/>
      <c r="E245" s="184"/>
      <c r="F245" s="184"/>
      <c r="G245" s="183"/>
      <c r="H245" s="184"/>
      <c r="I245" s="183"/>
    </row>
    <row r="246" spans="2:9">
      <c r="B246" s="181"/>
      <c r="C246" s="182"/>
      <c r="D246" s="183"/>
      <c r="E246" s="184"/>
      <c r="F246" s="184"/>
      <c r="G246" s="183"/>
      <c r="H246" s="184"/>
      <c r="I246" s="183"/>
    </row>
    <row r="247" spans="2:9">
      <c r="B247" s="181"/>
      <c r="C247" s="182"/>
      <c r="D247" s="183"/>
      <c r="E247" s="184"/>
      <c r="F247" s="184"/>
      <c r="G247" s="183"/>
      <c r="H247" s="184"/>
      <c r="I247" s="183"/>
    </row>
    <row r="248" spans="2:9">
      <c r="B248" s="181"/>
      <c r="C248" s="182"/>
      <c r="D248" s="183"/>
      <c r="E248" s="184"/>
      <c r="F248" s="184"/>
      <c r="G248" s="183"/>
      <c r="H248" s="184"/>
      <c r="I248" s="183"/>
    </row>
    <row r="249" spans="2:9">
      <c r="B249" s="181"/>
      <c r="C249" s="182"/>
      <c r="D249" s="183"/>
      <c r="E249" s="184"/>
      <c r="F249" s="184"/>
      <c r="G249" s="183"/>
      <c r="H249" s="184"/>
      <c r="I249" s="183"/>
    </row>
    <row r="250" spans="2:9">
      <c r="B250" s="181"/>
      <c r="C250" s="182"/>
      <c r="D250" s="183"/>
      <c r="E250" s="184"/>
      <c r="F250" s="184"/>
      <c r="G250" s="183"/>
      <c r="H250" s="184"/>
      <c r="I250" s="183"/>
    </row>
    <row r="251" spans="2:9">
      <c r="B251" s="181"/>
      <c r="C251" s="182"/>
      <c r="D251" s="183"/>
      <c r="E251" s="184"/>
      <c r="F251" s="184"/>
      <c r="G251" s="183"/>
      <c r="H251" s="184"/>
      <c r="I251" s="183"/>
    </row>
    <row r="252" spans="2:9">
      <c r="B252" s="181"/>
      <c r="C252" s="182"/>
      <c r="D252" s="183"/>
      <c r="E252" s="184"/>
      <c r="F252" s="184"/>
      <c r="G252" s="183"/>
      <c r="H252" s="184"/>
      <c r="I252" s="183"/>
    </row>
    <row r="253" spans="2:9">
      <c r="B253" s="181"/>
      <c r="C253" s="182"/>
      <c r="D253" s="183"/>
      <c r="E253" s="184"/>
      <c r="F253" s="184"/>
      <c r="G253" s="183"/>
      <c r="H253" s="184"/>
      <c r="I253" s="183"/>
    </row>
    <row r="254" spans="2:9">
      <c r="B254" s="181"/>
      <c r="C254" s="182"/>
      <c r="D254" s="183"/>
      <c r="E254" s="184"/>
      <c r="F254" s="184"/>
      <c r="G254" s="183"/>
      <c r="H254" s="184"/>
      <c r="I254" s="183"/>
    </row>
    <row r="255" spans="2:9">
      <c r="B255" s="181"/>
      <c r="C255" s="182"/>
      <c r="D255" s="183"/>
      <c r="E255" s="184"/>
      <c r="F255" s="184"/>
      <c r="G255" s="183"/>
      <c r="H255" s="184"/>
      <c r="I255" s="183"/>
    </row>
    <row r="256" spans="2:9">
      <c r="B256" s="181"/>
      <c r="C256" s="182"/>
      <c r="D256" s="183"/>
      <c r="E256" s="184"/>
      <c r="F256" s="184"/>
      <c r="G256" s="183"/>
      <c r="H256" s="184"/>
      <c r="I256" s="183"/>
    </row>
    <row r="257" spans="2:9">
      <c r="B257" s="181"/>
      <c r="C257" s="182"/>
      <c r="D257" s="183"/>
      <c r="E257" s="184"/>
      <c r="F257" s="184"/>
      <c r="G257" s="183"/>
      <c r="H257" s="184"/>
      <c r="I257" s="183"/>
    </row>
    <row r="258" spans="2:9">
      <c r="B258" s="181"/>
      <c r="C258" s="182"/>
      <c r="D258" s="183"/>
      <c r="E258" s="184"/>
      <c r="F258" s="184"/>
      <c r="G258" s="183"/>
      <c r="H258" s="184"/>
      <c r="I258" s="183"/>
    </row>
    <row r="259" spans="2:9">
      <c r="B259" s="181"/>
      <c r="C259" s="182"/>
      <c r="D259" s="183"/>
      <c r="E259" s="184"/>
      <c r="F259" s="184"/>
      <c r="G259" s="183"/>
      <c r="H259" s="184"/>
      <c r="I259" s="183"/>
    </row>
    <row r="260" spans="2:9">
      <c r="B260" s="181"/>
      <c r="C260" s="182"/>
      <c r="D260" s="183"/>
      <c r="E260" s="184"/>
      <c r="F260" s="184"/>
      <c r="G260" s="183"/>
      <c r="H260" s="184"/>
      <c r="I260" s="183"/>
    </row>
    <row r="261" spans="2:9">
      <c r="B261" s="181"/>
      <c r="C261" s="182"/>
      <c r="D261" s="183"/>
      <c r="E261" s="184"/>
      <c r="F261" s="184"/>
      <c r="G261" s="183"/>
      <c r="H261" s="184"/>
      <c r="I261" s="183"/>
    </row>
    <row r="262" spans="2:9">
      <c r="B262" s="181"/>
      <c r="C262" s="182"/>
      <c r="D262" s="183"/>
      <c r="E262" s="184"/>
      <c r="F262" s="184"/>
      <c r="G262" s="183"/>
      <c r="H262" s="184"/>
      <c r="I262" s="183"/>
    </row>
    <row r="263" spans="2:9">
      <c r="B263" s="181"/>
      <c r="C263" s="182"/>
      <c r="D263" s="183"/>
      <c r="E263" s="184"/>
      <c r="F263" s="184"/>
      <c r="G263" s="183"/>
      <c r="H263" s="184"/>
      <c r="I263" s="183"/>
    </row>
    <row r="264" spans="2:9">
      <c r="B264" s="181"/>
      <c r="C264" s="182"/>
      <c r="D264" s="183"/>
      <c r="E264" s="184"/>
      <c r="F264" s="184"/>
      <c r="G264" s="183"/>
      <c r="H264" s="184"/>
      <c r="I264" s="183"/>
    </row>
    <row r="265" spans="2:9">
      <c r="B265" s="181"/>
      <c r="C265" s="182"/>
      <c r="D265" s="183"/>
      <c r="E265" s="184"/>
      <c r="F265" s="184"/>
      <c r="G265" s="183"/>
      <c r="H265" s="184"/>
      <c r="I265" s="183"/>
    </row>
    <row r="266" spans="2:9">
      <c r="B266" s="181"/>
      <c r="C266" s="182"/>
      <c r="D266" s="183"/>
      <c r="E266" s="184"/>
      <c r="F266" s="184"/>
      <c r="G266" s="183"/>
      <c r="H266" s="184"/>
      <c r="I266" s="183"/>
    </row>
    <row r="267" spans="2:9">
      <c r="B267" s="181"/>
      <c r="C267" s="182"/>
      <c r="D267" s="183"/>
      <c r="E267" s="184"/>
      <c r="F267" s="184"/>
      <c r="G267" s="183"/>
      <c r="H267" s="184"/>
      <c r="I267" s="183"/>
    </row>
    <row r="268" spans="2:9">
      <c r="B268" s="181"/>
      <c r="C268" s="182"/>
      <c r="D268" s="183"/>
      <c r="E268" s="184"/>
      <c r="F268" s="184"/>
      <c r="G268" s="183"/>
      <c r="H268" s="184"/>
      <c r="I268" s="183"/>
    </row>
    <row r="269" spans="2:9">
      <c r="B269" s="181"/>
      <c r="C269" s="182"/>
      <c r="D269" s="183"/>
      <c r="E269" s="184"/>
      <c r="F269" s="184"/>
      <c r="G269" s="183"/>
      <c r="H269" s="184"/>
      <c r="I269" s="183"/>
    </row>
    <row r="270" spans="2:9">
      <c r="B270" s="181"/>
      <c r="C270" s="182"/>
      <c r="D270" s="183"/>
      <c r="E270" s="184"/>
      <c r="F270" s="184"/>
      <c r="G270" s="183"/>
      <c r="H270" s="184"/>
      <c r="I270" s="183"/>
    </row>
    <row r="271" spans="2:9">
      <c r="B271" s="181"/>
      <c r="C271" s="182"/>
      <c r="D271" s="183"/>
      <c r="E271" s="184"/>
      <c r="F271" s="184"/>
      <c r="G271" s="183"/>
      <c r="H271" s="184"/>
      <c r="I271" s="183"/>
    </row>
    <row r="272" spans="2:9">
      <c r="B272" s="181"/>
      <c r="C272" s="182"/>
      <c r="D272" s="183"/>
      <c r="E272" s="184"/>
      <c r="F272" s="184"/>
      <c r="G272" s="183"/>
      <c r="H272" s="184"/>
      <c r="I272" s="183"/>
    </row>
  </sheetData>
  <mergeCells count="7">
    <mergeCell ref="I4:J4"/>
    <mergeCell ref="I5:J5"/>
    <mergeCell ref="E1:F1"/>
    <mergeCell ref="E2:F2"/>
    <mergeCell ref="A4:B4"/>
    <mergeCell ref="D4:E4"/>
    <mergeCell ref="A5:E5"/>
  </mergeCells>
  <phoneticPr fontId="84" type="noConversion"/>
  <conditionalFormatting sqref="G1:H2 J6">
    <cfRule type="cellIs" dxfId="10" priority="1" stopIfTrue="1" operator="equal">
      <formula>"自动"</formula>
      <formula>"自动"</formula>
    </cfRule>
  </conditionalFormatting>
  <conditionalFormatting sqref="J6">
    <cfRule type="cellIs" dxfId="9" priority="2" stopIfTrue="1" operator="equal">
      <formula>"Fail"</formula>
      <formula>"Fail"</formula>
    </cfRule>
    <cfRule type="cellIs" dxfId="8" priority="3" stopIfTrue="1" operator="equal">
      <formula>"Pass"</formula>
      <formula>"Pass"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故障注入测试"/>
  <dimension ref="A1:Y33"/>
  <sheetViews>
    <sheetView workbookViewId="0">
      <selection activeCell="J7" sqref="J7:J22"/>
    </sheetView>
  </sheetViews>
  <sheetFormatPr defaultColWidth="14" defaultRowHeight="18" customHeight="1"/>
  <sheetData>
    <row r="1" spans="1:25" s="431" customFormat="1" ht="12.75">
      <c r="A1" s="41" t="s">
        <v>0</v>
      </c>
      <c r="B1" s="42" t="s">
        <v>1</v>
      </c>
      <c r="C1" s="43" t="s">
        <v>2</v>
      </c>
      <c r="D1" s="44" t="s">
        <v>3</v>
      </c>
      <c r="E1" s="45"/>
      <c r="F1" s="46"/>
      <c r="G1" s="47"/>
      <c r="H1" s="47"/>
      <c r="I1" s="46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 s="431" customFormat="1" ht="12.75">
      <c r="A2" s="49">
        <f>COUNTA(B7:B767)</f>
        <v>0</v>
      </c>
      <c r="B2" s="50" t="e">
        <f>COUNTIF(#REF!,"Pass")</f>
        <v>#REF!</v>
      </c>
      <c r="C2" s="51" t="e">
        <f>COUNTIF(#REF!,"Fail")</f>
        <v>#REF!</v>
      </c>
      <c r="D2" s="52" t="e">
        <f>COUNTIF(#REF!,"Undef")</f>
        <v>#REF!</v>
      </c>
      <c r="E2" s="53"/>
      <c r="F2" s="46"/>
      <c r="G2" s="54"/>
      <c r="H2" s="54"/>
      <c r="I2" s="46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 s="431" customFormat="1" ht="12.75">
      <c r="A3" s="46"/>
      <c r="B3" s="46"/>
      <c r="C3" s="46"/>
      <c r="D3" s="46"/>
      <c r="E3" s="46"/>
      <c r="F3" s="46"/>
      <c r="G3" s="54"/>
      <c r="H3" s="54"/>
      <c r="I3" s="55"/>
      <c r="J3" s="56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 s="431" customFormat="1" ht="25.5" customHeight="1">
      <c r="A4" s="489"/>
      <c r="B4" s="490"/>
      <c r="C4" s="57" t="s">
        <v>5</v>
      </c>
      <c r="D4" s="487" t="s">
        <v>6</v>
      </c>
      <c r="E4" s="488"/>
      <c r="F4" s="57"/>
      <c r="G4" s="58"/>
      <c r="H4" s="58"/>
      <c r="I4" s="483"/>
      <c r="J4" s="484"/>
      <c r="K4" s="59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 s="431" customFormat="1" ht="23.25" customHeight="1">
      <c r="A5" s="485"/>
      <c r="B5" s="486"/>
      <c r="C5" s="486"/>
      <c r="D5" s="486"/>
      <c r="E5" s="486"/>
      <c r="F5" s="57" t="s">
        <v>7</v>
      </c>
      <c r="G5" s="60"/>
      <c r="H5" s="60"/>
      <c r="I5" s="483"/>
      <c r="J5" s="484"/>
      <c r="K5" s="59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s="431" customFormat="1" ht="25.5" customHeight="1">
      <c r="A6" s="61" t="s">
        <v>8</v>
      </c>
      <c r="B6" s="61" t="s">
        <v>9</v>
      </c>
      <c r="C6" s="61" t="s">
        <v>10</v>
      </c>
      <c r="D6" s="61" t="s">
        <v>11</v>
      </c>
      <c r="E6" s="61"/>
      <c r="F6" s="61" t="s">
        <v>13</v>
      </c>
      <c r="G6" s="62" t="s">
        <v>654</v>
      </c>
      <c r="H6" s="63" t="s">
        <v>14</v>
      </c>
      <c r="I6" s="62" t="s">
        <v>655</v>
      </c>
      <c r="J6" s="62" t="s">
        <v>656</v>
      </c>
      <c r="K6" s="64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</row>
    <row r="7" spans="1:25" ht="57">
      <c r="A7" s="65" t="s">
        <v>149</v>
      </c>
      <c r="B7" s="65"/>
      <c r="C7" s="65" t="s">
        <v>149</v>
      </c>
      <c r="D7" s="65" t="s">
        <v>150</v>
      </c>
      <c r="E7" s="65"/>
      <c r="F7" s="65" t="s">
        <v>151</v>
      </c>
      <c r="G7" s="65" t="s">
        <v>152</v>
      </c>
      <c r="H7" s="65">
        <v>5</v>
      </c>
      <c r="I7" s="65" t="s">
        <v>153</v>
      </c>
      <c r="J7" s="65"/>
      <c r="K7" s="65"/>
      <c r="L7" s="65"/>
      <c r="M7" s="65"/>
    </row>
    <row r="8" spans="1:25" ht="42.75">
      <c r="A8" s="65" t="s">
        <v>149</v>
      </c>
      <c r="B8" s="65"/>
      <c r="C8" s="65" t="s">
        <v>149</v>
      </c>
      <c r="D8" s="65" t="s">
        <v>154</v>
      </c>
      <c r="E8" s="65"/>
      <c r="F8" s="65" t="s">
        <v>151</v>
      </c>
      <c r="G8" s="65" t="s">
        <v>155</v>
      </c>
      <c r="H8" s="65">
        <v>5</v>
      </c>
      <c r="I8" s="65" t="s">
        <v>153</v>
      </c>
      <c r="J8" s="65"/>
      <c r="K8" s="65"/>
      <c r="L8" s="65"/>
      <c r="M8" s="65"/>
    </row>
    <row r="9" spans="1:25" ht="42.75">
      <c r="A9" s="65" t="s">
        <v>149</v>
      </c>
      <c r="B9" s="65"/>
      <c r="C9" s="65" t="s">
        <v>149</v>
      </c>
      <c r="D9" s="65" t="s">
        <v>156</v>
      </c>
      <c r="E9" s="65"/>
      <c r="F9" s="65" t="s">
        <v>151</v>
      </c>
      <c r="G9" s="65" t="s">
        <v>157</v>
      </c>
      <c r="H9" s="65">
        <v>5</v>
      </c>
      <c r="I9" s="65" t="s">
        <v>153</v>
      </c>
      <c r="J9" s="65"/>
      <c r="K9" s="65"/>
      <c r="L9" s="65"/>
      <c r="M9" s="65"/>
    </row>
    <row r="10" spans="1:25" ht="42.75">
      <c r="A10" s="65" t="s">
        <v>149</v>
      </c>
      <c r="B10" s="65"/>
      <c r="C10" s="65" t="s">
        <v>149</v>
      </c>
      <c r="D10" s="65" t="s">
        <v>158</v>
      </c>
      <c r="E10" s="65"/>
      <c r="F10" s="65" t="s">
        <v>151</v>
      </c>
      <c r="G10" s="65" t="s">
        <v>159</v>
      </c>
      <c r="H10" s="65">
        <v>5</v>
      </c>
      <c r="I10" s="65" t="s">
        <v>153</v>
      </c>
      <c r="J10" s="65"/>
      <c r="K10" s="65"/>
      <c r="L10" s="65"/>
      <c r="M10" s="65"/>
    </row>
    <row r="11" spans="1:25" ht="42.75">
      <c r="A11" s="65" t="s">
        <v>149</v>
      </c>
      <c r="B11" s="65"/>
      <c r="C11" s="65" t="s">
        <v>149</v>
      </c>
      <c r="D11" s="65" t="s">
        <v>160</v>
      </c>
      <c r="E11" s="65"/>
      <c r="F11" s="65" t="s">
        <v>151</v>
      </c>
      <c r="G11" s="65" t="s">
        <v>161</v>
      </c>
      <c r="H11" s="65">
        <v>5</v>
      </c>
      <c r="I11" s="65" t="s">
        <v>153</v>
      </c>
      <c r="J11" s="65"/>
      <c r="K11" s="65"/>
      <c r="L11" s="65"/>
      <c r="M11" s="65"/>
    </row>
    <row r="12" spans="1:25" ht="42.75">
      <c r="A12" s="65" t="s">
        <v>149</v>
      </c>
      <c r="B12" s="65"/>
      <c r="C12" s="65" t="s">
        <v>149</v>
      </c>
      <c r="D12" s="65" t="s">
        <v>160</v>
      </c>
      <c r="E12" s="65"/>
      <c r="F12" s="65" t="s">
        <v>151</v>
      </c>
      <c r="G12" s="65" t="s">
        <v>161</v>
      </c>
      <c r="H12" s="65">
        <v>5</v>
      </c>
      <c r="I12" s="65" t="s">
        <v>153</v>
      </c>
      <c r="J12" s="65"/>
      <c r="K12" s="65"/>
      <c r="L12" s="65"/>
      <c r="M12" s="65"/>
    </row>
    <row r="13" spans="1:25" ht="42.75">
      <c r="A13" s="65" t="s">
        <v>149</v>
      </c>
      <c r="B13" s="65"/>
      <c r="C13" s="65" t="s">
        <v>149</v>
      </c>
      <c r="D13" s="65" t="s">
        <v>162</v>
      </c>
      <c r="E13" s="65"/>
      <c r="F13" s="65" t="s">
        <v>151</v>
      </c>
      <c r="G13" s="65" t="s">
        <v>163</v>
      </c>
      <c r="H13" s="65">
        <v>5</v>
      </c>
      <c r="I13" s="65" t="s">
        <v>153</v>
      </c>
      <c r="J13" s="65"/>
      <c r="K13" s="65"/>
      <c r="L13" s="65"/>
      <c r="M13" s="65"/>
    </row>
    <row r="14" spans="1:25" ht="42.75">
      <c r="A14" s="65" t="s">
        <v>149</v>
      </c>
      <c r="B14" s="65"/>
      <c r="C14" s="65" t="s">
        <v>149</v>
      </c>
      <c r="D14" s="65" t="s">
        <v>164</v>
      </c>
      <c r="E14" s="65"/>
      <c r="F14" s="65" t="s">
        <v>151</v>
      </c>
      <c r="G14" s="65" t="s">
        <v>165</v>
      </c>
      <c r="H14" s="65">
        <v>5</v>
      </c>
      <c r="I14" s="65" t="s">
        <v>153</v>
      </c>
      <c r="J14" s="65"/>
      <c r="K14" s="65"/>
      <c r="L14" s="65"/>
      <c r="M14" s="65"/>
    </row>
    <row r="15" spans="1:25" ht="42.75">
      <c r="A15" s="65" t="s">
        <v>149</v>
      </c>
      <c r="B15" s="65"/>
      <c r="C15" s="65" t="s">
        <v>149</v>
      </c>
      <c r="D15" s="65" t="s">
        <v>166</v>
      </c>
      <c r="E15" s="65"/>
      <c r="F15" s="65" t="s">
        <v>151</v>
      </c>
      <c r="G15" s="65" t="s">
        <v>167</v>
      </c>
      <c r="H15" s="65">
        <v>5</v>
      </c>
      <c r="I15" s="65" t="s">
        <v>153</v>
      </c>
      <c r="J15" s="65"/>
      <c r="K15" s="65"/>
      <c r="L15" s="65"/>
      <c r="M15" s="65"/>
    </row>
    <row r="16" spans="1:25" ht="42.75">
      <c r="A16" s="65" t="s">
        <v>149</v>
      </c>
      <c r="B16" s="65"/>
      <c r="C16" s="65" t="s">
        <v>149</v>
      </c>
      <c r="D16" s="65" t="s">
        <v>168</v>
      </c>
      <c r="E16" s="65"/>
      <c r="F16" s="65" t="s">
        <v>151</v>
      </c>
      <c r="G16" s="65" t="s">
        <v>169</v>
      </c>
      <c r="H16" s="65">
        <v>5</v>
      </c>
      <c r="I16" s="65" t="s">
        <v>153</v>
      </c>
      <c r="J16" s="65"/>
      <c r="K16" s="65"/>
      <c r="L16" s="65"/>
      <c r="M16" s="65"/>
    </row>
    <row r="17" spans="1:13" ht="42.75">
      <c r="A17" s="65" t="s">
        <v>149</v>
      </c>
      <c r="B17" s="65"/>
      <c r="C17" s="65" t="s">
        <v>149</v>
      </c>
      <c r="D17" s="65" t="s">
        <v>170</v>
      </c>
      <c r="E17" s="65"/>
      <c r="F17" s="65" t="s">
        <v>151</v>
      </c>
      <c r="G17" s="65" t="s">
        <v>171</v>
      </c>
      <c r="H17" s="65">
        <v>5</v>
      </c>
      <c r="I17" s="65" t="s">
        <v>153</v>
      </c>
      <c r="J17" s="65"/>
      <c r="K17" s="65"/>
      <c r="L17" s="65"/>
      <c r="M17" s="65"/>
    </row>
    <row r="18" spans="1:13" ht="42.75">
      <c r="A18" s="65" t="s">
        <v>149</v>
      </c>
      <c r="B18" s="65"/>
      <c r="C18" s="65" t="s">
        <v>149</v>
      </c>
      <c r="D18" s="65" t="s">
        <v>170</v>
      </c>
      <c r="E18" s="65"/>
      <c r="F18" s="65" t="s">
        <v>151</v>
      </c>
      <c r="G18" s="65" t="s">
        <v>171</v>
      </c>
      <c r="H18" s="65">
        <v>5</v>
      </c>
      <c r="I18" s="65" t="s">
        <v>153</v>
      </c>
      <c r="J18" s="65"/>
      <c r="K18" s="65"/>
      <c r="L18" s="65"/>
      <c r="M18" s="65"/>
    </row>
    <row r="19" spans="1:13" ht="42.75">
      <c r="A19" s="65" t="s">
        <v>149</v>
      </c>
      <c r="B19" s="65"/>
      <c r="C19" s="65" t="s">
        <v>149</v>
      </c>
      <c r="D19" s="65" t="s">
        <v>172</v>
      </c>
      <c r="E19" s="65"/>
      <c r="F19" s="65" t="s">
        <v>151</v>
      </c>
      <c r="G19" s="65" t="s">
        <v>173</v>
      </c>
      <c r="H19" s="65">
        <v>5</v>
      </c>
      <c r="I19" s="65" t="s">
        <v>153</v>
      </c>
      <c r="J19" s="65"/>
      <c r="K19" s="65"/>
      <c r="L19" s="65"/>
      <c r="M19" s="65"/>
    </row>
    <row r="20" spans="1:13" ht="28.5">
      <c r="A20" s="65" t="s">
        <v>174</v>
      </c>
      <c r="B20" s="65"/>
      <c r="C20" s="65" t="s">
        <v>174</v>
      </c>
      <c r="D20" s="65" t="s">
        <v>175</v>
      </c>
      <c r="E20" s="65"/>
      <c r="F20" s="65" t="s">
        <v>151</v>
      </c>
      <c r="G20" s="65" t="s">
        <v>175</v>
      </c>
      <c r="H20" s="65"/>
      <c r="I20" s="65" t="s">
        <v>176</v>
      </c>
      <c r="J20" s="65"/>
      <c r="K20" s="65"/>
      <c r="L20" s="65"/>
      <c r="M20" s="65"/>
    </row>
    <row r="21" spans="1:13" ht="42.75">
      <c r="A21" s="65" t="s">
        <v>174</v>
      </c>
      <c r="B21" s="65"/>
      <c r="C21" s="65" t="s">
        <v>174</v>
      </c>
      <c r="D21" s="65" t="s">
        <v>177</v>
      </c>
      <c r="E21" s="65"/>
      <c r="F21" s="65" t="s">
        <v>151</v>
      </c>
      <c r="G21" s="65" t="s">
        <v>178</v>
      </c>
      <c r="H21" s="65"/>
      <c r="I21" s="65" t="s">
        <v>176</v>
      </c>
      <c r="J21" s="65"/>
      <c r="K21" s="65"/>
      <c r="L21" s="65"/>
      <c r="M21" s="65"/>
    </row>
    <row r="22" spans="1:13" ht="42.75">
      <c r="A22" s="65" t="s">
        <v>174</v>
      </c>
      <c r="B22" s="65"/>
      <c r="C22" s="65" t="s">
        <v>174</v>
      </c>
      <c r="D22" s="65" t="s">
        <v>179</v>
      </c>
      <c r="E22" s="65"/>
      <c r="F22" s="65" t="s">
        <v>151</v>
      </c>
      <c r="G22" s="65" t="s">
        <v>158</v>
      </c>
      <c r="H22" s="65"/>
      <c r="I22" s="65" t="s">
        <v>176</v>
      </c>
      <c r="J22" s="65"/>
      <c r="K22" s="65"/>
      <c r="L22" s="65"/>
      <c r="M22" s="65"/>
    </row>
    <row r="23" spans="1:13" ht="14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</row>
    <row r="24" spans="1:13" ht="14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</row>
    <row r="25" spans="1:13" ht="14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</row>
    <row r="26" spans="1:13" ht="14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</row>
    <row r="27" spans="1:13" ht="14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</row>
    <row r="28" spans="1:13" ht="14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</row>
    <row r="29" spans="1:13" ht="14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</row>
    <row r="30" spans="1:13" ht="14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</row>
    <row r="31" spans="1:13" ht="14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</row>
    <row r="32" spans="1:13" ht="14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</row>
    <row r="33" spans="1:13" ht="14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</row>
  </sheetData>
  <mergeCells count="5">
    <mergeCell ref="I4:J4"/>
    <mergeCell ref="I5:J5"/>
    <mergeCell ref="A5:E5"/>
    <mergeCell ref="D4:E4"/>
    <mergeCell ref="A4:B4"/>
  </mergeCells>
  <phoneticPr fontId="84" type="noConversion"/>
  <conditionalFormatting sqref="F1:I2">
    <cfRule type="cellIs" dxfId="7" priority="4" stopIfTrue="1" operator="equal">
      <formula>"自动"</formula>
      <formula>"自动"</formula>
    </cfRule>
  </conditionalFormatting>
  <conditionalFormatting sqref="J6">
    <cfRule type="cellIs" dxfId="6" priority="1" stopIfTrue="1" operator="equal">
      <formula>"自动"</formula>
      <formula>"自动"</formula>
    </cfRule>
    <cfRule type="cellIs" dxfId="5" priority="2" stopIfTrue="1" operator="equal">
      <formula>"Fail"</formula>
      <formula>"Fail"</formula>
    </cfRule>
    <cfRule type="cellIs" dxfId="4" priority="3" stopIfTrue="1" operator="equal">
      <formula>"Pass"</formula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交流输出负载测试"/>
  <dimension ref="A1:Y37"/>
  <sheetViews>
    <sheetView workbookViewId="0">
      <selection activeCell="J7" sqref="J7:J18"/>
    </sheetView>
  </sheetViews>
  <sheetFormatPr defaultColWidth="14" defaultRowHeight="18" customHeight="1"/>
  <cols>
    <col min="2" max="2" width="10" customWidth="1"/>
    <col min="3" max="3" width="19.875" customWidth="1"/>
    <col min="7" max="7" width="22.625" customWidth="1"/>
  </cols>
  <sheetData>
    <row r="1" spans="1:25" s="431" customFormat="1" ht="12.75">
      <c r="A1" s="41" t="s">
        <v>0</v>
      </c>
      <c r="B1" s="42" t="s">
        <v>1</v>
      </c>
      <c r="C1" s="43" t="s">
        <v>2</v>
      </c>
      <c r="D1" s="44" t="s">
        <v>3</v>
      </c>
      <c r="E1" s="45"/>
      <c r="F1" s="46"/>
      <c r="G1" s="47"/>
      <c r="H1" s="47"/>
      <c r="I1" s="46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2" spans="1:25" s="431" customFormat="1" ht="12.75">
      <c r="A2" s="49">
        <f>COUNTA(B7:B771)</f>
        <v>3</v>
      </c>
      <c r="B2" s="50" t="e">
        <f>COUNTIF(#REF!,"Pass")</f>
        <v>#REF!</v>
      </c>
      <c r="C2" s="51" t="e">
        <f>COUNTIF(#REF!,"Fail")</f>
        <v>#REF!</v>
      </c>
      <c r="D2" s="52" t="e">
        <f>COUNTIF(#REF!,"Undef")</f>
        <v>#REF!</v>
      </c>
      <c r="E2" s="53"/>
      <c r="F2" s="46"/>
      <c r="G2" s="54"/>
      <c r="H2" s="54"/>
      <c r="I2" s="46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</row>
    <row r="3" spans="1:25" s="431" customFormat="1" ht="12.75">
      <c r="A3" s="46"/>
      <c r="B3" s="46"/>
      <c r="C3" s="46"/>
      <c r="D3" s="46"/>
      <c r="E3" s="46"/>
      <c r="F3" s="46"/>
      <c r="G3" s="54"/>
      <c r="H3" s="54"/>
      <c r="I3" s="55"/>
      <c r="J3" s="56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</row>
    <row r="4" spans="1:25" s="431" customFormat="1" ht="25.5" customHeight="1">
      <c r="A4" s="489"/>
      <c r="B4" s="490"/>
      <c r="C4" s="57" t="s">
        <v>5</v>
      </c>
      <c r="D4" s="487" t="s">
        <v>6</v>
      </c>
      <c r="E4" s="488"/>
      <c r="F4" s="57"/>
      <c r="G4" s="58"/>
      <c r="H4" s="58"/>
      <c r="I4" s="483"/>
      <c r="J4" s="484"/>
      <c r="K4" s="59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</row>
    <row r="5" spans="1:25" s="431" customFormat="1" ht="23.25" customHeight="1">
      <c r="A5" s="485"/>
      <c r="B5" s="486"/>
      <c r="C5" s="486"/>
      <c r="D5" s="486"/>
      <c r="E5" s="486"/>
      <c r="F5" s="57" t="s">
        <v>7</v>
      </c>
      <c r="G5" s="60"/>
      <c r="H5" s="60"/>
      <c r="I5" s="483"/>
      <c r="J5" s="484"/>
      <c r="K5" s="59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</row>
    <row r="6" spans="1:25" s="431" customFormat="1" ht="25.5" customHeight="1">
      <c r="A6" s="61" t="s">
        <v>8</v>
      </c>
      <c r="B6" s="61" t="s">
        <v>9</v>
      </c>
      <c r="C6" s="61" t="s">
        <v>10</v>
      </c>
      <c r="D6" s="61" t="s">
        <v>11</v>
      </c>
      <c r="E6" s="61"/>
      <c r="F6" s="61" t="s">
        <v>13</v>
      </c>
      <c r="G6" s="62" t="s">
        <v>654</v>
      </c>
      <c r="H6" s="63" t="s">
        <v>14</v>
      </c>
      <c r="I6" s="62" t="s">
        <v>655</v>
      </c>
      <c r="J6" s="62" t="s">
        <v>656</v>
      </c>
      <c r="K6" s="64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</row>
    <row r="7" spans="1:25" ht="42.75">
      <c r="A7" s="65" t="s">
        <v>330</v>
      </c>
      <c r="B7" s="65">
        <v>1</v>
      </c>
      <c r="C7" s="65" t="s">
        <v>331</v>
      </c>
      <c r="D7" s="65" t="s">
        <v>332</v>
      </c>
      <c r="E7" s="65"/>
      <c r="F7" s="65" t="s">
        <v>333</v>
      </c>
      <c r="G7" s="65" t="s">
        <v>334</v>
      </c>
      <c r="H7" s="65"/>
      <c r="I7" s="65" t="s">
        <v>335</v>
      </c>
      <c r="J7" s="65"/>
      <c r="K7" s="65"/>
      <c r="L7" s="65"/>
      <c r="M7" s="65"/>
    </row>
    <row r="8" spans="1:25" ht="42.75">
      <c r="A8" s="65"/>
      <c r="B8" s="65"/>
      <c r="C8" s="65"/>
      <c r="D8" s="65"/>
      <c r="E8" s="65"/>
      <c r="F8" s="65"/>
      <c r="G8" s="65" t="s">
        <v>336</v>
      </c>
      <c r="H8" s="65"/>
      <c r="I8" s="65" t="s">
        <v>337</v>
      </c>
      <c r="J8" s="65"/>
      <c r="K8" s="65"/>
      <c r="L8" s="65"/>
      <c r="M8" s="65"/>
    </row>
    <row r="9" spans="1:25" ht="28.5">
      <c r="A9" s="65"/>
      <c r="B9" s="65"/>
      <c r="C9" s="65"/>
      <c r="D9" s="65"/>
      <c r="E9" s="65"/>
      <c r="F9" s="65"/>
      <c r="G9" s="65" t="s">
        <v>338</v>
      </c>
      <c r="H9" s="65"/>
      <c r="I9" s="65"/>
      <c r="J9" s="65"/>
      <c r="K9" s="65"/>
      <c r="L9" s="65"/>
      <c r="M9" s="65"/>
    </row>
    <row r="10" spans="1:25" ht="42.75">
      <c r="A10" s="65"/>
      <c r="B10" s="65"/>
      <c r="C10" s="65"/>
      <c r="D10" s="65"/>
      <c r="E10" s="65"/>
      <c r="F10" s="65"/>
      <c r="G10" s="65" t="s">
        <v>339</v>
      </c>
      <c r="H10" s="65"/>
      <c r="I10" s="65"/>
      <c r="J10" s="65"/>
      <c r="K10" s="65"/>
      <c r="L10" s="65"/>
      <c r="M10" s="65"/>
    </row>
    <row r="11" spans="1:25" ht="42.75">
      <c r="A11" s="65"/>
      <c r="B11" s="65">
        <v>2</v>
      </c>
      <c r="C11" s="65" t="s">
        <v>340</v>
      </c>
      <c r="D11" s="65" t="s">
        <v>341</v>
      </c>
      <c r="E11" s="65"/>
      <c r="F11" s="65" t="s">
        <v>333</v>
      </c>
      <c r="G11" s="65" t="s">
        <v>334</v>
      </c>
      <c r="H11" s="65"/>
      <c r="I11" s="65" t="s">
        <v>342</v>
      </c>
      <c r="J11" s="65"/>
      <c r="K11" s="65"/>
      <c r="L11" s="65"/>
      <c r="M11" s="65"/>
    </row>
    <row r="12" spans="1:25" ht="28.5">
      <c r="A12" s="65"/>
      <c r="B12" s="65"/>
      <c r="C12" s="65"/>
      <c r="D12" s="65"/>
      <c r="E12" s="65"/>
      <c r="F12" s="65"/>
      <c r="G12" s="65" t="s">
        <v>343</v>
      </c>
      <c r="H12" s="65"/>
      <c r="I12" s="65" t="s">
        <v>344</v>
      </c>
      <c r="J12" s="65"/>
      <c r="K12" s="65"/>
      <c r="L12" s="65"/>
      <c r="M12" s="65"/>
    </row>
    <row r="13" spans="1:25" ht="28.5">
      <c r="A13" s="65"/>
      <c r="B13" s="65"/>
      <c r="C13" s="65"/>
      <c r="D13" s="65"/>
      <c r="E13" s="65"/>
      <c r="F13" s="65"/>
      <c r="G13" s="65" t="s">
        <v>338</v>
      </c>
      <c r="H13" s="65"/>
      <c r="I13" s="65"/>
      <c r="J13" s="65"/>
      <c r="K13" s="65"/>
      <c r="L13" s="65"/>
      <c r="M13" s="65"/>
    </row>
    <row r="14" spans="1:25" ht="28.5">
      <c r="A14" s="65"/>
      <c r="B14" s="65"/>
      <c r="C14" s="65"/>
      <c r="D14" s="65"/>
      <c r="E14" s="65"/>
      <c r="F14" s="65"/>
      <c r="G14" s="65" t="s">
        <v>345</v>
      </c>
      <c r="H14" s="65"/>
      <c r="I14" s="65"/>
      <c r="J14" s="65"/>
      <c r="K14" s="65"/>
      <c r="L14" s="65"/>
      <c r="M14" s="65"/>
    </row>
    <row r="15" spans="1:25" ht="42.75">
      <c r="A15" s="65"/>
      <c r="B15" s="65"/>
      <c r="C15" s="65"/>
      <c r="D15" s="65"/>
      <c r="E15" s="65"/>
      <c r="F15" s="65"/>
      <c r="G15" s="65" t="s">
        <v>346</v>
      </c>
      <c r="H15" s="65"/>
      <c r="I15" s="65"/>
      <c r="J15" s="65"/>
      <c r="K15" s="65"/>
      <c r="L15" s="65"/>
      <c r="M15" s="65"/>
    </row>
    <row r="16" spans="1:25" ht="42.75">
      <c r="A16" s="65"/>
      <c r="B16" s="65">
        <v>3</v>
      </c>
      <c r="C16" s="65" t="s">
        <v>347</v>
      </c>
      <c r="D16" s="65" t="s">
        <v>348</v>
      </c>
      <c r="E16" s="65"/>
      <c r="F16" s="65" t="s">
        <v>333</v>
      </c>
      <c r="G16" s="65" t="s">
        <v>349</v>
      </c>
      <c r="H16" s="65"/>
      <c r="I16" s="65" t="s">
        <v>350</v>
      </c>
      <c r="J16" s="65"/>
      <c r="K16" s="65"/>
      <c r="L16" s="65"/>
      <c r="M16" s="65"/>
    </row>
    <row r="17" spans="1:13" ht="28.5">
      <c r="A17" s="65"/>
      <c r="B17" s="65"/>
      <c r="C17" s="65"/>
      <c r="D17" s="65"/>
      <c r="E17" s="65"/>
      <c r="F17" s="65"/>
      <c r="G17" s="65" t="s">
        <v>351</v>
      </c>
      <c r="H17" s="65"/>
      <c r="I17" s="65" t="s">
        <v>352</v>
      </c>
      <c r="J17" s="65"/>
      <c r="K17" s="65"/>
      <c r="L17" s="65"/>
      <c r="M17" s="65"/>
    </row>
    <row r="18" spans="1:13" ht="28.5">
      <c r="A18" s="65"/>
      <c r="B18" s="65"/>
      <c r="C18" s="65"/>
      <c r="D18" s="65"/>
      <c r="E18" s="65"/>
      <c r="F18" s="65"/>
      <c r="G18" s="65" t="s">
        <v>353</v>
      </c>
      <c r="H18" s="65"/>
      <c r="J18" s="65"/>
      <c r="K18" s="65"/>
      <c r="L18" s="65"/>
      <c r="M18" s="65"/>
    </row>
    <row r="19" spans="1:13" ht="28.5">
      <c r="A19" s="65"/>
      <c r="B19" s="65"/>
      <c r="C19" s="65"/>
      <c r="D19" s="65"/>
      <c r="E19" s="65"/>
      <c r="F19" s="65"/>
      <c r="G19" s="65" t="s">
        <v>354</v>
      </c>
      <c r="H19" s="65"/>
      <c r="I19" s="65"/>
      <c r="J19" s="65"/>
      <c r="K19" s="65"/>
      <c r="L19" s="65"/>
      <c r="M19" s="65"/>
    </row>
    <row r="20" spans="1:13" ht="28.5">
      <c r="A20" s="65"/>
      <c r="B20" s="65"/>
      <c r="C20" s="65"/>
      <c r="D20" s="65"/>
      <c r="E20" s="65"/>
      <c r="F20" s="65"/>
      <c r="G20" s="65" t="s">
        <v>355</v>
      </c>
      <c r="H20" s="65"/>
      <c r="I20" s="65"/>
      <c r="J20" s="65"/>
      <c r="K20" s="65"/>
      <c r="L20" s="65"/>
      <c r="M20" s="65"/>
    </row>
    <row r="21" spans="1:13" ht="14.25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</row>
    <row r="22" spans="1:13" ht="14.25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</row>
    <row r="23" spans="1:13" ht="14.25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</row>
    <row r="24" spans="1:13" ht="14.25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</row>
    <row r="25" spans="1:13" ht="14.25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</row>
    <row r="26" spans="1:13" ht="14.25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</row>
    <row r="27" spans="1:13" ht="14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</row>
    <row r="28" spans="1:13" ht="14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</row>
    <row r="29" spans="1:13" ht="14.25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</row>
    <row r="30" spans="1:13" ht="14.25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</row>
    <row r="31" spans="1:13" ht="14.25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</row>
    <row r="32" spans="1:13" ht="14.25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</row>
    <row r="33" spans="1:13" ht="14.25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</row>
    <row r="34" spans="1:13" ht="14.25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</row>
    <row r="35" spans="1:13" ht="14.25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</row>
    <row r="36" spans="1:13" ht="14.25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</row>
    <row r="37" spans="1:13" ht="14.25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</row>
  </sheetData>
  <mergeCells count="5">
    <mergeCell ref="I4:J4"/>
    <mergeCell ref="I5:J5"/>
    <mergeCell ref="A5:E5"/>
    <mergeCell ref="D4:E4"/>
    <mergeCell ref="A4:B4"/>
  </mergeCells>
  <phoneticPr fontId="84" type="noConversion"/>
  <conditionalFormatting sqref="F1:I2">
    <cfRule type="cellIs" dxfId="3" priority="4" stopIfTrue="1" operator="equal">
      <formula>"自动"</formula>
      <formula>"自动"</formula>
    </cfRule>
  </conditionalFormatting>
  <conditionalFormatting sqref="J6">
    <cfRule type="cellIs" dxfId="2" priority="1" stopIfTrue="1" operator="equal">
      <formula>"自动"</formula>
      <formula>"自动"</formula>
    </cfRule>
    <cfRule type="cellIs" dxfId="1" priority="2" stopIfTrue="1" operator="equal">
      <formula>"Fail"</formula>
      <formula>"Fail"</formula>
    </cfRule>
    <cfRule type="cellIs" dxfId="0" priority="3" stopIfTrue="1" operator="equal">
      <formula>"Pass"</formula>
      <formula>"Pass"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3</vt:i4>
      </vt:variant>
    </vt:vector>
  </HeadingPairs>
  <TitlesOfParts>
    <vt:vector size="11" baseType="lpstr">
      <vt:lpstr>修改记录</vt:lpstr>
      <vt:lpstr>充放电</vt:lpstr>
      <vt:lpstr>显示器</vt:lpstr>
      <vt:lpstr>DCAC</vt:lpstr>
      <vt:lpstr>整车控制</vt:lpstr>
      <vt:lpstr>热管理</vt:lpstr>
      <vt:lpstr>模式切换</vt:lpstr>
      <vt:lpstr>交流输出负载测试</vt:lpstr>
      <vt:lpstr>DCAC!Print_Area</vt:lpstr>
      <vt:lpstr>显示器!Print_Area</vt:lpstr>
      <vt:lpstr>整车控制!Print_Area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</cp:lastModifiedBy>
  <dcterms:created xsi:type="dcterms:W3CDTF">2026-06-08T14:31:47Z</dcterms:created>
  <dcterms:modified xsi:type="dcterms:W3CDTF">2026-06-08T06:36:03Z</dcterms:modified>
</cp:coreProperties>
</file>